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ING COGS — LP Fill" sheetId="1" r:id="rId4"/>
    <sheet state="visible" name="All Sold SKUs" sheetId="2" r:id="rId5"/>
  </sheets>
  <definedNames>
    <definedName hidden="1" localSheetId="0" name="_xlnm._FilterDatabase">'MISSING COGS — LP Fill'!$A$1:$Z$1000</definedName>
  </definedNames>
  <calcPr/>
  <extLst>
    <ext uri="GoogleSheetsCustomDataVersion2">
      <go:sheetsCustomData xmlns:go="http://customooxmlschemas.google.com/" r:id="rId6" roundtripDataChecksum="PIgkFpXDQ78XX/PL9Hle6h6DIVyz8rqF2o9hV4fdGBQ="/>
    </ext>
  </extLst>
</workbook>
</file>

<file path=xl/sharedStrings.xml><?xml version="1.0" encoding="utf-8"?>
<sst xmlns="http://schemas.openxmlformats.org/spreadsheetml/2006/main" count="2469" uniqueCount="369">
  <si>
    <t>request_priority</t>
  </si>
  <si>
    <t>revenue_rank</t>
  </si>
  <si>
    <t>Line: SKU</t>
  </si>
  <si>
    <t>Line: Product Handle</t>
  </si>
  <si>
    <t>Title</t>
  </si>
  <si>
    <t>Variant Barcode</t>
  </si>
  <si>
    <t>Line: Variant Title</t>
  </si>
  <si>
    <t>Status</t>
  </si>
  <si>
    <t>price_sgd</t>
  </si>
  <si>
    <t>unit_cost</t>
  </si>
  <si>
    <t>currently_has_cost</t>
  </si>
  <si>
    <t>cost_per_item_sgd_LP_FILL</t>
  </si>
  <si>
    <t>gross_margin_pct_LP_FILL</t>
  </si>
  <si>
    <t>line_items</t>
  </si>
  <si>
    <t>total_units</t>
  </si>
  <si>
    <t>unique_customers</t>
  </si>
  <si>
    <t>total_revenue_sgd</t>
  </si>
  <si>
    <t>pct_of_finals_revenue</t>
  </si>
  <si>
    <t>data_notes_LP_FILL</t>
  </si>
  <si>
    <t>COGS</t>
  </si>
  <si>
    <t>MEDIUM — &gt;0.5% of finals revenue</t>
  </si>
  <si>
    <t>0724999807937</t>
  </si>
  <si>
    <t>better-whey</t>
  </si>
  <si>
    <t>1kg (40 serves) / Cocoa Dinosaur</t>
  </si>
  <si>
    <t>N</t>
  </si>
  <si>
    <t>LOW</t>
  </si>
  <si>
    <t>0724999807784</t>
  </si>
  <si>
    <t>1kg (40 serves) / Matchawhey</t>
  </si>
  <si>
    <t>0724999807890</t>
  </si>
  <si>
    <t>1kg (40 serves) / Unflavoured</t>
  </si>
  <si>
    <t>1kg (40 servings) / Cocoa Dinosaur</t>
  </si>
  <si>
    <t>1kg (40 servings) / Unflavoured</t>
  </si>
  <si>
    <t>HIGH — top 20 revenue SKU, no COGS</t>
  </si>
  <si>
    <t>1kg Pack (40 servings) / Cocoa Dinosaur</t>
  </si>
  <si>
    <t>724999807937.0</t>
  </si>
  <si>
    <t>0724999808736</t>
  </si>
  <si>
    <t>1kg Pack (40 servings) / Genmai-Roasted Brown Rice</t>
  </si>
  <si>
    <t>724999808736.0</t>
  </si>
  <si>
    <t>0724999807951</t>
  </si>
  <si>
    <t>1kg Pack (40 servings) / Mango</t>
  </si>
  <si>
    <t>724999807951.0</t>
  </si>
  <si>
    <t>1kg Pack (40 servings) / Matchawhey</t>
  </si>
  <si>
    <t>724999807784.0</t>
  </si>
  <si>
    <t>1kg Pack (40 servings) / Natural (Unflavoured)</t>
  </si>
  <si>
    <t>724999807890.0</t>
  </si>
  <si>
    <t>724999808422.0</t>
  </si>
  <si>
    <t>1kg Pack (40 servings) / Teh Tarik</t>
  </si>
  <si>
    <t>0724999807913</t>
  </si>
  <si>
    <t>1kg Pack (40 servings) / Vanilla</t>
  </si>
  <si>
    <t>724999807913.0</t>
  </si>
  <si>
    <t>1kg Pack (40 servings) / Vanilla (Exp Nov23)</t>
  </si>
  <si>
    <t>1kg Pack (40 servings) / Vanilla (unsweetened)</t>
  </si>
  <si>
    <t>1KG Pack / Cocoa Dinosaur</t>
  </si>
  <si>
    <t>1KG Pack / Matchawhey</t>
  </si>
  <si>
    <t>1KG Pack / Natural (Unflavored)</t>
  </si>
  <si>
    <t>1KG Pack / Natural (Unflavoured)</t>
  </si>
  <si>
    <t>1KG Pack / Natural/Unflavored</t>
  </si>
  <si>
    <t>1KG Pack / Teh Tarik</t>
  </si>
  <si>
    <t>0724999808422</t>
  </si>
  <si>
    <t>1KG Pack / Vanilla</t>
  </si>
  <si>
    <t>0724999808897</t>
  </si>
  <si>
    <t>500g (20 serves) / Cocoa Dinosaur</t>
  </si>
  <si>
    <t>0724999808880</t>
  </si>
  <si>
    <t>500g (20 serves) / Unflavoured</t>
  </si>
  <si>
    <t>500g (20 servings) / Cocoa Dinosaur</t>
  </si>
  <si>
    <t>500g Pack (20 servings) / Cocoa Dinosaur</t>
  </si>
  <si>
    <t>724999808897.0</t>
  </si>
  <si>
    <t>724999808941.0</t>
  </si>
  <si>
    <t>500g Pack (20 servings) / Matchawhey</t>
  </si>
  <si>
    <t>0724999808941</t>
  </si>
  <si>
    <t>500g Pack (20 servings) / Natural (Unflavoured)</t>
  </si>
  <si>
    <t>724999808880.0</t>
  </si>
  <si>
    <t>0724999808903</t>
  </si>
  <si>
    <t>500g Pack (20 servings) / Vanilla</t>
  </si>
  <si>
    <t>724999808903.0</t>
  </si>
  <si>
    <t>500g Pack (20 servings) / Vanilla (Expiry Sep 2024)</t>
  </si>
  <si>
    <t>500g Pack (20 servings) / Vanilla (unsweetened)</t>
  </si>
  <si>
    <t>500g Pack / Cocoa Dinosaur</t>
  </si>
  <si>
    <t>500g Pack / Matchawhey</t>
  </si>
  <si>
    <t>500g Pack / Natural (Unflavored)</t>
  </si>
  <si>
    <t>500g Pack / Natural (Unflavoured)</t>
  </si>
  <si>
    <t>724999808910.0</t>
  </si>
  <si>
    <t>500g Pack / Teh Tarik</t>
  </si>
  <si>
    <t>0724999808910</t>
  </si>
  <si>
    <t>500g Pack / Vanilla</t>
  </si>
  <si>
    <t>500g Pack / Vanilla (Exp Nov 2023)</t>
  </si>
  <si>
    <t>0724999807814</t>
  </si>
  <si>
    <t>clear-protein</t>
  </si>
  <si>
    <t>1 x 500g Pack (20 servings) / Peach</t>
  </si>
  <si>
    <t>0724999807807</t>
  </si>
  <si>
    <t>1 x 500g Pack (20 servings) / White Grape</t>
  </si>
  <si>
    <t>CLEAR-PEA-500G-2BL-V2</t>
  </si>
  <si>
    <t>2 x 500g Pack (40 servings) *MOST POPULAR* / Peach</t>
  </si>
  <si>
    <t>0724999807814_2</t>
  </si>
  <si>
    <t>CLEAR-GRA-500G-2BL-V2</t>
  </si>
  <si>
    <t>2 x 500g Pack (40 servings) *MOST POPULAR* / White Grape</t>
  </si>
  <si>
    <t>0724999807807_2</t>
  </si>
  <si>
    <t>0724999810494</t>
  </si>
  <si>
    <t>25g Sachet (1 serving) / Peach</t>
  </si>
  <si>
    <t>0724999810487</t>
  </si>
  <si>
    <t>25g Sachet (1 serving) / White Grape</t>
  </si>
  <si>
    <t>CLEAR-PEA-500G-4BL-V2</t>
  </si>
  <si>
    <t>4 x 500g Pack (80 servings) / Peach</t>
  </si>
  <si>
    <t>0724999807814_4</t>
  </si>
  <si>
    <t>CLEAR-GRA-500G-4BL-V2</t>
  </si>
  <si>
    <t>4 x 500g Pack (80 servings) / White Grape</t>
  </si>
  <si>
    <t>0724999807807_4</t>
  </si>
  <si>
    <t>500g Pack (20 Serv) / Peach</t>
  </si>
  <si>
    <t>500g Pack (20 Serv) / White Grape</t>
  </si>
  <si>
    <t>500g Pack (20 servings) / Peach</t>
  </si>
  <si>
    <t>500g Pack (20 Servings) / Peach</t>
  </si>
  <si>
    <t>724999807814.0</t>
  </si>
  <si>
    <t>500g Pack (20 servings) / White Grape</t>
  </si>
  <si>
    <t>724999807807.0</t>
  </si>
  <si>
    <t>500g Pack (20 Servings) / White Grape</t>
  </si>
  <si>
    <t>clear-protein-25g-single-sachet</t>
  </si>
  <si>
    <t>1 x 25g (1 serving) / Peach</t>
  </si>
  <si>
    <t>1 x 25g (1 serving) / White Grape</t>
  </si>
  <si>
    <t>1 x 25g Sachet (1 serving) / Peach</t>
  </si>
  <si>
    <t>1 x 25g Sachet (1 serving) / White Grape</t>
  </si>
  <si>
    <t>25g Sachet / Peach</t>
  </si>
  <si>
    <t>25g Sachet / White Grape</t>
  </si>
  <si>
    <t>0724999810548</t>
  </si>
  <si>
    <t>5 x 25g (5 servings) *MOST POPULAR* / Peach</t>
  </si>
  <si>
    <t>0724999810531</t>
  </si>
  <si>
    <t>5 x 25g (5 servings) *MOST POPULAR* / White Grape</t>
  </si>
  <si>
    <t>5 x 25g Sachet (5 servings)  *MOST POPULAR* / Peach</t>
  </si>
  <si>
    <t>0724999810494_5</t>
  </si>
  <si>
    <t>5 x 25g Sachet (5 servings)  *MOST POPULAR* / White Grape</t>
  </si>
  <si>
    <t>0724999810487_5</t>
  </si>
  <si>
    <t>0724999808507</t>
  </si>
  <si>
    <t>collagen-glow</t>
  </si>
  <si>
    <t>1 x 300g pack (30 servings)</t>
  </si>
  <si>
    <t>COL-UNF-300G-2BL-V1</t>
  </si>
  <si>
    <t>2 x 300g packs (60 servings) *Most Popular*</t>
  </si>
  <si>
    <t>0724999808507_2</t>
  </si>
  <si>
    <t>300g</t>
  </si>
  <si>
    <t>300g (30 serves) / Unflavoured</t>
  </si>
  <si>
    <t>724999808507.0</t>
  </si>
  <si>
    <t>300g Pack</t>
  </si>
  <si>
    <t>300g Pack (30 servings)</t>
  </si>
  <si>
    <t>300g Pack (30 servings) / Natural (Unflavoured)</t>
  </si>
  <si>
    <t>COL-UNF-300G-4BL-V1</t>
  </si>
  <si>
    <t>4 x 300g packs (120 servings)</t>
  </si>
  <si>
    <t>0724999808507_4</t>
  </si>
  <si>
    <t>724999809009</t>
  </si>
  <si>
    <t>collagen-glow-10g-single-serve</t>
  </si>
  <si>
    <t>1 x 10g Sachet (1 serving)</t>
  </si>
  <si>
    <t>724999809009_5</t>
  </si>
  <si>
    <t>5 x 10g Sachet (5 servings) *Most Popular*</t>
  </si>
  <si>
    <t>0724999809603</t>
  </si>
  <si>
    <t>creatine-monohydrate-sachet</t>
  </si>
  <si>
    <t>1 x 5g (1 servings)</t>
  </si>
  <si>
    <t>1 x 5g Sachet (1 servings)</t>
  </si>
  <si>
    <t>0724999809603_10</t>
  </si>
  <si>
    <t>10 x 5g (10 servings) *Most Popular*</t>
  </si>
  <si>
    <t>0724999809610</t>
  </si>
  <si>
    <t>discovery-sampler</t>
  </si>
  <si>
    <t>6 Sachets Variety</t>
  </si>
  <si>
    <t>0724999807548</t>
  </si>
  <si>
    <t>green-tea-extract-capsules</t>
  </si>
  <si>
    <t>60 Capsules</t>
  </si>
  <si>
    <t>724999807548.0</t>
  </si>
  <si>
    <t>60 Capsules (60 servings)</t>
  </si>
  <si>
    <t>0724999807822</t>
  </si>
  <si>
    <t>lean-protein</t>
  </si>
  <si>
    <t>1 x 1kg Pack (25 servings) / Taro</t>
  </si>
  <si>
    <t>0724999807821</t>
  </si>
  <si>
    <t>1 x 1kg Pack (25 servings) / Thai Milk Tea</t>
  </si>
  <si>
    <t>0724999807708</t>
  </si>
  <si>
    <t>1kg Pack (25 serves) / Taro</t>
  </si>
  <si>
    <t>1kg Pack (25 serves) / Thai Milk Tea</t>
  </si>
  <si>
    <t>1kg Pack (25 servings) / Taro</t>
  </si>
  <si>
    <t>1kg Pack (25 servings) / Thai Milk Tea</t>
  </si>
  <si>
    <t>1kg Pack (40 servings) / Taro</t>
  </si>
  <si>
    <t>1kg Pack (40 servings) / Thai Milk Tea</t>
  </si>
  <si>
    <t>LEAN-TAR-1KG-2BL-V1</t>
  </si>
  <si>
    <t>2 x 1kg Packs (50 servings) *MOST POPULAR* / Taro</t>
  </si>
  <si>
    <t>0724999807822_2</t>
  </si>
  <si>
    <t>LEAN-THA-1KG-2BL-V1</t>
  </si>
  <si>
    <t>2 x 1kg Packs (50 servings) *MOST POPULAR* / Thai Milk Tea</t>
  </si>
  <si>
    <t>0724999807821_2</t>
  </si>
  <si>
    <t>2 x 1kg Packs (50 servings) *POPULAR* / Taro</t>
  </si>
  <si>
    <t>LEAN-TAR-1KG-4BL-V1</t>
  </si>
  <si>
    <t>4 x 1kg Packs (100 servings) / Taro</t>
  </si>
  <si>
    <t>0724999807822_4</t>
  </si>
  <si>
    <t>LEAN-THA-1KG4BL-V1</t>
  </si>
  <si>
    <t>4 x 1kg Packs (100 servings) / Thai Milk Tea</t>
  </si>
  <si>
    <t>0724999807821_4</t>
  </si>
  <si>
    <t>0724999810470</t>
  </si>
  <si>
    <t>40g Sachet (1 serving) / Taro</t>
  </si>
  <si>
    <t>0724999810463</t>
  </si>
  <si>
    <t>40g Sachet (1 serving) / Thai Milk Tea</t>
  </si>
  <si>
    <t>40g Sachet (single serve) / Taro</t>
  </si>
  <si>
    <t>40g Sachet / Taro</t>
  </si>
  <si>
    <t>40g Sachet / Thai Milk Tea</t>
  </si>
  <si>
    <t>0724999808361</t>
  </si>
  <si>
    <t>lushprotein-clear-shaker</t>
  </si>
  <si>
    <t>White</t>
  </si>
  <si>
    <t>lushprotein-lean-protein-40g-single-serve</t>
  </si>
  <si>
    <t>1 x 40g Sachet (1 serving) / Taro</t>
  </si>
  <si>
    <t>1 x 40g Sachet (1 serving) / Thai Milk Tea</t>
  </si>
  <si>
    <t>0724999810524</t>
  </si>
  <si>
    <t>5 x 40g Sachet (5 servings) *Most Popular* / Taro</t>
  </si>
  <si>
    <t>0724999810470_5</t>
  </si>
  <si>
    <t>0724999810517</t>
  </si>
  <si>
    <t>5 x 40g Sachet (5 servings) *Most Popular* / Thai Milk Tea</t>
  </si>
  <si>
    <t>0724999810463_5</t>
  </si>
  <si>
    <t>0724999807999</t>
  </si>
  <si>
    <t>micronized-creatine-monohydrate</t>
  </si>
  <si>
    <t>1 x 250g Pack (50 servings)</t>
  </si>
  <si>
    <t>CRE-UNF-250G-2BL-V1</t>
  </si>
  <si>
    <t>2 x 250g Pack (100 servings) *Most Popular*</t>
  </si>
  <si>
    <t>250g (50 serves)</t>
  </si>
  <si>
    <t>250g (50 servings)</t>
  </si>
  <si>
    <t>CRE-UNF-250G-4BL-V1</t>
  </si>
  <si>
    <t>4 x 250g Pack (200 servings)</t>
  </si>
  <si>
    <t>0724999807999_4</t>
  </si>
  <si>
    <t>0724999808378</t>
  </si>
  <si>
    <t>multivitamin-vegan</t>
  </si>
  <si>
    <t>90 Caps</t>
  </si>
  <si>
    <t>724999808378.0</t>
  </si>
  <si>
    <t>90 Capsules</t>
  </si>
  <si>
    <t>90 capsules</t>
  </si>
  <si>
    <t>90 Capsules (30 servings)</t>
  </si>
  <si>
    <t>0724999808606</t>
  </si>
  <si>
    <t>plant-protein</t>
  </si>
  <si>
    <t>480g Pack (16 servings) / Cocoa Dinosaur</t>
  </si>
  <si>
    <t>724999808606.0</t>
  </si>
  <si>
    <t>0724999808620</t>
  </si>
  <si>
    <t>480g Pack (16 servings) / Natural (Unflavoured)</t>
  </si>
  <si>
    <t>724999808620.0</t>
  </si>
  <si>
    <t>0724999808613</t>
  </si>
  <si>
    <t>480g Pack (16 servings) / Vanilla</t>
  </si>
  <si>
    <t>724999808613.0</t>
  </si>
  <si>
    <t>480g Pack / Vanilla</t>
  </si>
  <si>
    <t>Cocoa Dinosaur</t>
  </si>
  <si>
    <t>Cocoa Dinosaur / 480g</t>
  </si>
  <si>
    <t>Natural (Unflavored)</t>
  </si>
  <si>
    <t>Natural (Unflavored) / 480g</t>
  </si>
  <si>
    <t>Vanilla</t>
  </si>
  <si>
    <t>Vanilla / 480g</t>
  </si>
  <si>
    <t>0724999807791</t>
  </si>
  <si>
    <t>prime-whey-isolate</t>
  </si>
  <si>
    <t>724999807791.0</t>
  </si>
  <si>
    <t>724999807777.0</t>
  </si>
  <si>
    <t>0724999807777</t>
  </si>
  <si>
    <t>0724999807760</t>
  </si>
  <si>
    <t>724999807760.0</t>
  </si>
  <si>
    <t>1KG Pack / Cocoa-dinosaur</t>
  </si>
  <si>
    <t>Cocoa Dinosaur / 1kg</t>
  </si>
  <si>
    <t>Matchawhey / 1kg</t>
  </si>
  <si>
    <t>Natural (Unflavored) / 1kg</t>
  </si>
  <si>
    <t>724999807562.0</t>
  </si>
  <si>
    <t>pureburn-fat-burner-capsules</t>
  </si>
  <si>
    <t>0724999807562</t>
  </si>
  <si>
    <t>90 Capsules (90 servings)</t>
  </si>
  <si>
    <t>90 Tablets</t>
  </si>
  <si>
    <t>90 tablets</t>
  </si>
  <si>
    <t>90 Tablets (90 servings)</t>
  </si>
  <si>
    <t>0724999807845</t>
  </si>
  <si>
    <t>soy-protein-isolate</t>
  </si>
  <si>
    <t>1 x 1kg Pack (40 servings) / Unflavoured</t>
  </si>
  <si>
    <t>1KG / Unflavoured</t>
  </si>
  <si>
    <t>724999807845.0</t>
  </si>
  <si>
    <t>1kg Pack (40 servings) / Unflavoured</t>
  </si>
  <si>
    <t>SOY-UNF-1KG-2BL-V1</t>
  </si>
  <si>
    <t>2 x 1kg Pack (80 servings) *Most Popular* / Unflavoured</t>
  </si>
  <si>
    <t>0724999807845_2</t>
  </si>
  <si>
    <t>SOY-UNF-1KG-4BL-V1</t>
  </si>
  <si>
    <t>4 x 1kg Pack (160 servings) / Unflavoured</t>
  </si>
  <si>
    <t>0724999807845_4</t>
  </si>
  <si>
    <t>724999807555.0</t>
  </si>
  <si>
    <t>super-omega-3</t>
  </si>
  <si>
    <t>0724999807555</t>
  </si>
  <si>
    <t>60 Softgels</t>
  </si>
  <si>
    <t>60 Softgels (60 servings)</t>
  </si>
  <si>
    <t>Already provided</t>
  </si>
  <si>
    <t>LEAN-THA-1KG-V1</t>
  </si>
  <si>
    <t>'0724999807821</t>
  </si>
  <si>
    <t>Y</t>
  </si>
  <si>
    <t>CLEAR-PEA-500G-V2</t>
  </si>
  <si>
    <t>CLEAR PROTEIN</t>
  </si>
  <si>
    <t>'0724999807814</t>
  </si>
  <si>
    <t>active</t>
  </si>
  <si>
    <t>CLEAR-GRA-500G-V2</t>
  </si>
  <si>
    <t>'0724999807807</t>
  </si>
  <si>
    <t>LEAN-TAR-1KG-V1</t>
  </si>
  <si>
    <t>LEAN PROTEIN</t>
  </si>
  <si>
    <t>'0724999807708</t>
  </si>
  <si>
    <t>CRE-UNF-250G-V1</t>
  </si>
  <si>
    <t>CREATINE MONOHYDRATE</t>
  </si>
  <si>
    <t>'0724999807999</t>
  </si>
  <si>
    <t>SOY-UNF-1KG-V1</t>
  </si>
  <si>
    <t>SOY PROTEIN ISOLATE</t>
  </si>
  <si>
    <t>'0724999807845</t>
  </si>
  <si>
    <t>COL-UNF-300G-V1</t>
  </si>
  <si>
    <t>COLLAGEN GLOW</t>
  </si>
  <si>
    <t>'0724999808507</t>
  </si>
  <si>
    <t>LEAN-POL-1KG-V1</t>
  </si>
  <si>
    <t>lean-protein-peach-oolong-pre-order</t>
  </si>
  <si>
    <t>LEAN PROTEIN PEACH OOLONG (PRE-ORDER)</t>
  </si>
  <si>
    <t>'0724999807825</t>
  </si>
  <si>
    <t>1 x 1kg Pack (25 servings) / Peach Oolong</t>
  </si>
  <si>
    <t>ACC-SHK-V2</t>
  </si>
  <si>
    <t>LP CLASSIC SHAKER</t>
  </si>
  <si>
    <t>'0724999808361</t>
  </si>
  <si>
    <t>PLT-CHO-480G-V1</t>
  </si>
  <si>
    <t>PLANT PROTEIN</t>
  </si>
  <si>
    <t>'0724999808606</t>
  </si>
  <si>
    <t>BND-SS-MIX6-V1</t>
  </si>
  <si>
    <t>Discovery Sampler (5 sachets variety pack)</t>
  </si>
  <si>
    <t>'0724999809610</t>
  </si>
  <si>
    <t>5 Sachets Variety</t>
  </si>
  <si>
    <t>CAP-PBT-BOTTLE-V1</t>
  </si>
  <si>
    <t>PURE BURN THERMOGENIC CAPSULES</t>
  </si>
  <si>
    <t>'0724999807562</t>
  </si>
  <si>
    <t>PLT-VAN-480G-V1</t>
  </si>
  <si>
    <t>'0724999808613</t>
  </si>
  <si>
    <t>CRE-UNF-5G-10PK-V1</t>
  </si>
  <si>
    <t>CLEAR-PEA-25G-V2</t>
  </si>
  <si>
    <t>Clear Protein Single Serve</t>
  </si>
  <si>
    <t>'0724999810494</t>
  </si>
  <si>
    <t>CLEAR-GRA-25G-5PK-V2</t>
  </si>
  <si>
    <t>'0724999810531</t>
  </si>
  <si>
    <t>LEAN-THA-40G-5PK-V1</t>
  </si>
  <si>
    <t>'0724999810517</t>
  </si>
  <si>
    <t>LEAN-THA-40G-V1</t>
  </si>
  <si>
    <t>'0724999810463</t>
  </si>
  <si>
    <t>CLEAR-PEA-25G-5PK-V2</t>
  </si>
  <si>
    <t>'0724999810548</t>
  </si>
  <si>
    <t>LEAN-TAR-40G-5PK-V1</t>
  </si>
  <si>
    <t>'0724999810524</t>
  </si>
  <si>
    <t>CAP-OMG-BOTTLE-V1</t>
  </si>
  <si>
    <t>SUPER OMEGA 3 CAPSULES</t>
  </si>
  <si>
    <t>'0724999807555</t>
  </si>
  <si>
    <t>draft</t>
  </si>
  <si>
    <t>CLEAR-GRA-25G-V2</t>
  </si>
  <si>
    <t>'0724999810487</t>
  </si>
  <si>
    <t>BET-UNF-1KG-V1</t>
  </si>
  <si>
    <t>BETTER WHEY PROTEIN</t>
  </si>
  <si>
    <t>'0724999807890</t>
  </si>
  <si>
    <t>LEAN-TAR-40G-V1</t>
  </si>
  <si>
    <t>Lean Protein Single Serve</t>
  </si>
  <si>
    <t>'0724999810470</t>
  </si>
  <si>
    <t>1 x 1kg Pack / Thai Milk Tea</t>
  </si>
  <si>
    <t>1 x 40g Sachet / Thai Milk Tea</t>
  </si>
  <si>
    <t>5 x 40g Sachet / Taro</t>
  </si>
  <si>
    <t>CRE-UNF-5G-V1</t>
  </si>
  <si>
    <t>CREATINE MONOHYDRATE SINGLE SERVE</t>
  </si>
  <si>
    <t>'0724999809603</t>
  </si>
  <si>
    <t>5 x 25g Sachets / Peach</t>
  </si>
  <si>
    <t>1 x 500g Pack / White Grape</t>
  </si>
  <si>
    <t>5 x 40g Sachet / Thai Milk Tea</t>
  </si>
  <si>
    <t>1 x 40g Sachet / Taro</t>
  </si>
  <si>
    <t>CAP-GTE-BOTTLE-V1</t>
  </si>
  <si>
    <t>GREEN TEA EXTRACT CAPSULES</t>
  </si>
  <si>
    <t>'0724999807548</t>
  </si>
  <si>
    <t>COL-UNF-10G-7PK-V1</t>
  </si>
  <si>
    <t>724999809009_7</t>
  </si>
  <si>
    <t>7 x 10g Sachet (7 servings) *Most Popular*</t>
  </si>
  <si>
    <t>1 x 1kg Pack / Taro</t>
  </si>
  <si>
    <t>5 x 25g Sachets / White Grape</t>
  </si>
  <si>
    <t>1 x 500g Pack / Peach</t>
  </si>
  <si>
    <t>COL-UNF-10G-V1</t>
  </si>
  <si>
    <t>Collagen Glow Single Serve</t>
  </si>
  <si>
    <t>'724999809009</t>
  </si>
  <si>
    <t>1 x 10g Sachet</t>
  </si>
  <si>
    <t>7 x 10g Sachets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</si>
</sst>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86"/>
    <col customWidth="1" min="2" max="2" width="13.43"/>
    <col customWidth="1" min="3" max="3" width="23.0"/>
    <col customWidth="1" min="4" max="4" width="39.43"/>
    <col customWidth="1" hidden="1" min="5" max="5" width="5.0"/>
    <col customWidth="1" hidden="1" min="6" max="6" width="15.14"/>
    <col customWidth="1" min="7" max="7" width="54.86"/>
    <col customWidth="1" hidden="1" min="8" max="8" width="6.43"/>
    <col customWidth="1" hidden="1" min="9" max="9" width="9.43"/>
    <col customWidth="1" hidden="1" min="10" max="10" width="8.71"/>
    <col customWidth="1" hidden="1" min="11" max="11" width="17.86"/>
    <col customWidth="1" hidden="1" min="12" max="12" width="25.57"/>
    <col customWidth="1" hidden="1" min="13" max="13" width="24.14"/>
    <col customWidth="1" hidden="1" min="14" max="14" width="10.43"/>
    <col customWidth="1" hidden="1" min="15" max="15" width="10.57"/>
    <col customWidth="1" hidden="1" min="16" max="16" width="17.71"/>
    <col customWidth="1" hidden="1" min="17" max="17" width="17.86"/>
    <col customWidth="1" hidden="1" min="18" max="18" width="21.14"/>
    <col customWidth="1" hidden="1" min="19" max="19" width="18.43"/>
    <col customWidth="1" min="20" max="20" width="12.86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>
      <c r="A2" s="1" t="s">
        <v>20</v>
      </c>
      <c r="B2" s="1">
        <v>34.0</v>
      </c>
      <c r="C2" s="1" t="s">
        <v>21</v>
      </c>
      <c r="D2" s="1" t="s">
        <v>22</v>
      </c>
      <c r="G2" s="1" t="s">
        <v>23</v>
      </c>
      <c r="K2" s="1" t="s">
        <v>24</v>
      </c>
      <c r="N2" s="1">
        <v>81.0</v>
      </c>
      <c r="O2" s="1">
        <v>87.0</v>
      </c>
      <c r="P2" s="1">
        <v>46.0</v>
      </c>
      <c r="Q2" s="1">
        <v>4131.64</v>
      </c>
      <c r="R2" s="1">
        <v>0.72</v>
      </c>
      <c r="T2" s="3">
        <v>21.1</v>
      </c>
    </row>
    <row r="3">
      <c r="A3" s="1" t="s">
        <v>25</v>
      </c>
      <c r="B3" s="1">
        <v>89.0</v>
      </c>
      <c r="C3" s="1" t="s">
        <v>26</v>
      </c>
      <c r="D3" s="1" t="s">
        <v>22</v>
      </c>
      <c r="G3" s="1" t="s">
        <v>27</v>
      </c>
      <c r="K3" s="1" t="s">
        <v>24</v>
      </c>
      <c r="N3" s="1">
        <v>26.0</v>
      </c>
      <c r="O3" s="1">
        <v>28.0</v>
      </c>
      <c r="P3" s="1">
        <v>23.0</v>
      </c>
      <c r="Q3" s="1">
        <v>1317.96</v>
      </c>
      <c r="R3" s="1">
        <v>0.23</v>
      </c>
      <c r="T3" s="3">
        <v>21.1</v>
      </c>
    </row>
    <row r="4">
      <c r="A4" s="1" t="s">
        <v>25</v>
      </c>
      <c r="B4" s="1">
        <v>53.0</v>
      </c>
      <c r="C4" s="1" t="s">
        <v>28</v>
      </c>
      <c r="D4" s="1" t="s">
        <v>22</v>
      </c>
      <c r="G4" s="1" t="s">
        <v>29</v>
      </c>
      <c r="K4" s="1" t="s">
        <v>24</v>
      </c>
      <c r="N4" s="1">
        <v>43.0</v>
      </c>
      <c r="O4" s="1">
        <v>50.0</v>
      </c>
      <c r="P4" s="1">
        <v>31.0</v>
      </c>
      <c r="Q4" s="1">
        <v>2400.31</v>
      </c>
      <c r="R4" s="1">
        <v>0.42</v>
      </c>
      <c r="T4" s="3">
        <v>21.1</v>
      </c>
    </row>
    <row r="5">
      <c r="A5" s="1" t="s">
        <v>25</v>
      </c>
      <c r="B5" s="1">
        <v>65.0</v>
      </c>
      <c r="C5" s="1" t="s">
        <v>21</v>
      </c>
      <c r="D5" s="1" t="s">
        <v>22</v>
      </c>
      <c r="G5" s="1" t="s">
        <v>30</v>
      </c>
      <c r="K5" s="1" t="s">
        <v>24</v>
      </c>
      <c r="N5" s="1">
        <v>32.0</v>
      </c>
      <c r="O5" s="1">
        <v>36.0</v>
      </c>
      <c r="P5" s="1">
        <v>25.0</v>
      </c>
      <c r="Q5" s="1">
        <v>2067.08</v>
      </c>
      <c r="R5" s="1">
        <v>0.36</v>
      </c>
      <c r="T5" s="3">
        <v>21.1</v>
      </c>
    </row>
    <row r="6">
      <c r="A6" s="1" t="s">
        <v>25</v>
      </c>
      <c r="B6" s="1">
        <v>60.0</v>
      </c>
      <c r="C6" s="1" t="s">
        <v>28</v>
      </c>
      <c r="D6" s="1" t="s">
        <v>22</v>
      </c>
      <c r="G6" s="1" t="s">
        <v>31</v>
      </c>
      <c r="K6" s="1" t="s">
        <v>24</v>
      </c>
      <c r="N6" s="1">
        <v>34.0</v>
      </c>
      <c r="O6" s="1">
        <v>39.0</v>
      </c>
      <c r="P6" s="1">
        <v>24.0</v>
      </c>
      <c r="Q6" s="1">
        <v>2183.78</v>
      </c>
      <c r="R6" s="1">
        <v>0.38</v>
      </c>
      <c r="T6" s="3">
        <v>21.1</v>
      </c>
    </row>
    <row r="7">
      <c r="A7" s="1" t="s">
        <v>32</v>
      </c>
      <c r="B7" s="1">
        <v>11.0</v>
      </c>
      <c r="C7" s="1" t="s">
        <v>21</v>
      </c>
      <c r="D7" s="1" t="s">
        <v>22</v>
      </c>
      <c r="G7" s="1" t="s">
        <v>33</v>
      </c>
      <c r="K7" s="1" t="s">
        <v>24</v>
      </c>
      <c r="N7" s="1">
        <v>152.0</v>
      </c>
      <c r="O7" s="1">
        <v>196.0</v>
      </c>
      <c r="P7" s="1">
        <v>119.0</v>
      </c>
      <c r="Q7" s="1">
        <v>10043.96</v>
      </c>
      <c r="R7" s="1">
        <v>1.75</v>
      </c>
      <c r="T7" s="3">
        <v>21.1</v>
      </c>
    </row>
    <row r="8">
      <c r="A8" s="1" t="s">
        <v>25</v>
      </c>
      <c r="B8" s="1">
        <v>45.0</v>
      </c>
      <c r="C8" s="1" t="s">
        <v>34</v>
      </c>
      <c r="D8" s="1" t="s">
        <v>22</v>
      </c>
      <c r="G8" s="1" t="s">
        <v>33</v>
      </c>
      <c r="K8" s="1" t="s">
        <v>24</v>
      </c>
      <c r="N8" s="1">
        <v>51.0</v>
      </c>
      <c r="O8" s="1">
        <v>56.0</v>
      </c>
      <c r="P8" s="1">
        <v>42.0</v>
      </c>
      <c r="Q8" s="1">
        <v>2774.44</v>
      </c>
      <c r="R8" s="1">
        <v>0.48</v>
      </c>
      <c r="T8" s="3">
        <v>21.1</v>
      </c>
    </row>
    <row r="9">
      <c r="A9" s="1" t="s">
        <v>25</v>
      </c>
      <c r="B9" s="1">
        <v>132.0</v>
      </c>
      <c r="C9" s="1" t="s">
        <v>35</v>
      </c>
      <c r="D9" s="1" t="s">
        <v>22</v>
      </c>
      <c r="G9" s="1" t="s">
        <v>36</v>
      </c>
      <c r="K9" s="1" t="s">
        <v>24</v>
      </c>
      <c r="N9" s="1">
        <v>13.0</v>
      </c>
      <c r="O9" s="1">
        <v>15.0</v>
      </c>
      <c r="P9" s="1">
        <v>12.0</v>
      </c>
      <c r="Q9" s="1">
        <v>635.3</v>
      </c>
      <c r="R9" s="1">
        <v>0.11</v>
      </c>
      <c r="T9" s="3">
        <v>21.1</v>
      </c>
    </row>
    <row r="10">
      <c r="A10" s="1" t="s">
        <v>25</v>
      </c>
      <c r="B10" s="1">
        <v>227.0</v>
      </c>
      <c r="C10" s="1" t="s">
        <v>37</v>
      </c>
      <c r="D10" s="1" t="s">
        <v>22</v>
      </c>
      <c r="G10" s="1" t="s">
        <v>36</v>
      </c>
      <c r="K10" s="1" t="s">
        <v>24</v>
      </c>
      <c r="N10" s="1">
        <v>2.0</v>
      </c>
      <c r="O10" s="1">
        <v>2.0</v>
      </c>
      <c r="P10" s="1">
        <v>2.0</v>
      </c>
      <c r="Q10" s="1">
        <v>99.8</v>
      </c>
      <c r="R10" s="1">
        <v>0.02</v>
      </c>
      <c r="T10" s="3">
        <v>21.1</v>
      </c>
    </row>
    <row r="11">
      <c r="A11" s="1" t="s">
        <v>25</v>
      </c>
      <c r="B11" s="1">
        <v>111.0</v>
      </c>
      <c r="C11" s="1" t="s">
        <v>38</v>
      </c>
      <c r="D11" s="1" t="s">
        <v>22</v>
      </c>
      <c r="G11" s="1" t="s">
        <v>39</v>
      </c>
      <c r="K11" s="1" t="s">
        <v>24</v>
      </c>
      <c r="N11" s="1">
        <v>14.0</v>
      </c>
      <c r="O11" s="1">
        <v>15.0</v>
      </c>
      <c r="P11" s="1">
        <v>14.0</v>
      </c>
      <c r="Q11" s="1">
        <v>838.57</v>
      </c>
      <c r="R11" s="1">
        <v>0.15</v>
      </c>
      <c r="T11" s="3">
        <v>21.1</v>
      </c>
    </row>
    <row r="12">
      <c r="A12" s="1" t="s">
        <v>25</v>
      </c>
      <c r="B12" s="1">
        <v>155.0</v>
      </c>
      <c r="C12" s="1" t="s">
        <v>40</v>
      </c>
      <c r="D12" s="1" t="s">
        <v>22</v>
      </c>
      <c r="G12" s="1" t="s">
        <v>39</v>
      </c>
      <c r="K12" s="1" t="s">
        <v>24</v>
      </c>
      <c r="N12" s="1">
        <v>8.0</v>
      </c>
      <c r="O12" s="1">
        <v>8.0</v>
      </c>
      <c r="P12" s="1">
        <v>8.0</v>
      </c>
      <c r="Q12" s="1">
        <v>439.06</v>
      </c>
      <c r="R12" s="1">
        <v>0.08</v>
      </c>
      <c r="T12" s="3">
        <v>21.1</v>
      </c>
    </row>
    <row r="13">
      <c r="A13" s="1" t="s">
        <v>20</v>
      </c>
      <c r="B13" s="1">
        <v>35.0</v>
      </c>
      <c r="C13" s="1" t="s">
        <v>26</v>
      </c>
      <c r="D13" s="1" t="s">
        <v>22</v>
      </c>
      <c r="G13" s="1" t="s">
        <v>41</v>
      </c>
      <c r="K13" s="1" t="s">
        <v>24</v>
      </c>
      <c r="N13" s="1">
        <v>71.0</v>
      </c>
      <c r="O13" s="1">
        <v>77.0</v>
      </c>
      <c r="P13" s="1">
        <v>64.0</v>
      </c>
      <c r="Q13" s="1">
        <v>4009.19</v>
      </c>
      <c r="R13" s="1">
        <v>0.7</v>
      </c>
      <c r="T13" s="3">
        <v>21.1</v>
      </c>
    </row>
    <row r="14">
      <c r="A14" s="1" t="s">
        <v>25</v>
      </c>
      <c r="B14" s="1">
        <v>61.0</v>
      </c>
      <c r="C14" s="1" t="s">
        <v>42</v>
      </c>
      <c r="D14" s="1" t="s">
        <v>22</v>
      </c>
      <c r="G14" s="1" t="s">
        <v>41</v>
      </c>
      <c r="K14" s="1" t="s">
        <v>24</v>
      </c>
      <c r="N14" s="1">
        <v>41.0</v>
      </c>
      <c r="O14" s="1">
        <v>46.0</v>
      </c>
      <c r="P14" s="1">
        <v>34.0</v>
      </c>
      <c r="Q14" s="1">
        <v>2182.24</v>
      </c>
      <c r="R14" s="1">
        <v>0.38</v>
      </c>
      <c r="T14" s="3">
        <v>21.1</v>
      </c>
    </row>
    <row r="15">
      <c r="A15" s="1" t="s">
        <v>32</v>
      </c>
      <c r="B15" s="1">
        <v>16.0</v>
      </c>
      <c r="C15" s="1" t="s">
        <v>28</v>
      </c>
      <c r="D15" s="1" t="s">
        <v>22</v>
      </c>
      <c r="G15" s="1" t="s">
        <v>43</v>
      </c>
      <c r="K15" s="1" t="s">
        <v>24</v>
      </c>
      <c r="N15" s="1">
        <v>97.0</v>
      </c>
      <c r="O15" s="1">
        <v>139.0</v>
      </c>
      <c r="P15" s="1">
        <v>81.0</v>
      </c>
      <c r="Q15" s="1">
        <v>7346.69</v>
      </c>
      <c r="R15" s="1">
        <v>1.28</v>
      </c>
      <c r="T15" s="3">
        <v>21.1</v>
      </c>
    </row>
    <row r="16">
      <c r="A16" s="1" t="s">
        <v>25</v>
      </c>
      <c r="B16" s="1">
        <v>71.0</v>
      </c>
      <c r="C16" s="1" t="s">
        <v>44</v>
      </c>
      <c r="D16" s="1" t="s">
        <v>22</v>
      </c>
      <c r="G16" s="1" t="s">
        <v>43</v>
      </c>
      <c r="K16" s="1" t="s">
        <v>24</v>
      </c>
      <c r="N16" s="1">
        <v>33.0</v>
      </c>
      <c r="O16" s="1">
        <v>44.0</v>
      </c>
      <c r="P16" s="1">
        <v>30.0</v>
      </c>
      <c r="Q16" s="1">
        <v>1953.93</v>
      </c>
      <c r="R16" s="1">
        <v>0.34</v>
      </c>
      <c r="T16" s="3">
        <v>21.1</v>
      </c>
    </row>
    <row r="17">
      <c r="A17" s="1" t="s">
        <v>25</v>
      </c>
      <c r="B17" s="1">
        <v>137.0</v>
      </c>
      <c r="C17" s="1" t="s">
        <v>45</v>
      </c>
      <c r="D17" s="1" t="s">
        <v>22</v>
      </c>
      <c r="G17" s="1" t="s">
        <v>46</v>
      </c>
      <c r="K17" s="1" t="s">
        <v>24</v>
      </c>
      <c r="N17" s="1">
        <v>10.0</v>
      </c>
      <c r="O17" s="1">
        <v>10.0</v>
      </c>
      <c r="P17" s="1">
        <v>9.0</v>
      </c>
      <c r="Q17" s="1">
        <v>581.33</v>
      </c>
      <c r="R17" s="1">
        <v>0.1</v>
      </c>
      <c r="T17" s="3">
        <v>21.1</v>
      </c>
    </row>
    <row r="18">
      <c r="A18" s="1" t="s">
        <v>25</v>
      </c>
      <c r="B18" s="1">
        <v>114.0</v>
      </c>
      <c r="C18" s="1" t="s">
        <v>47</v>
      </c>
      <c r="D18" s="1" t="s">
        <v>22</v>
      </c>
      <c r="G18" s="1" t="s">
        <v>48</v>
      </c>
      <c r="K18" s="1" t="s">
        <v>24</v>
      </c>
      <c r="N18" s="1">
        <v>14.0</v>
      </c>
      <c r="O18" s="1">
        <v>14.0</v>
      </c>
      <c r="P18" s="1">
        <v>14.0</v>
      </c>
      <c r="Q18" s="1">
        <v>809.54</v>
      </c>
      <c r="R18" s="1">
        <v>0.14</v>
      </c>
      <c r="T18" s="3">
        <v>21.1</v>
      </c>
    </row>
    <row r="19">
      <c r="A19" s="1" t="s">
        <v>25</v>
      </c>
      <c r="B19" s="1">
        <v>106.0</v>
      </c>
      <c r="C19" s="1" t="s">
        <v>49</v>
      </c>
      <c r="D19" s="1" t="s">
        <v>22</v>
      </c>
      <c r="G19" s="1" t="s">
        <v>50</v>
      </c>
      <c r="K19" s="1" t="s">
        <v>24</v>
      </c>
      <c r="N19" s="1">
        <v>18.0</v>
      </c>
      <c r="O19" s="1">
        <v>25.0</v>
      </c>
      <c r="P19" s="1">
        <v>16.0</v>
      </c>
      <c r="Q19" s="1">
        <v>979.95</v>
      </c>
      <c r="R19" s="1">
        <v>0.17</v>
      </c>
      <c r="T19" s="3">
        <v>21.1</v>
      </c>
    </row>
    <row r="20">
      <c r="A20" s="1" t="s">
        <v>25</v>
      </c>
      <c r="B20" s="1">
        <v>138.0</v>
      </c>
      <c r="C20" s="1" t="s">
        <v>47</v>
      </c>
      <c r="D20" s="1" t="s">
        <v>22</v>
      </c>
      <c r="G20" s="1" t="s">
        <v>51</v>
      </c>
      <c r="K20" s="1" t="s">
        <v>24</v>
      </c>
      <c r="N20" s="1">
        <v>10.0</v>
      </c>
      <c r="O20" s="1">
        <v>10.0</v>
      </c>
      <c r="P20" s="1">
        <v>9.0</v>
      </c>
      <c r="Q20" s="1">
        <v>572.06</v>
      </c>
      <c r="R20" s="1">
        <v>0.1</v>
      </c>
      <c r="T20" s="3">
        <v>21.1</v>
      </c>
    </row>
    <row r="21" ht="15.75" customHeight="1">
      <c r="A21" s="1" t="s">
        <v>20</v>
      </c>
      <c r="B21" s="1">
        <v>31.0</v>
      </c>
      <c r="C21" s="1" t="s">
        <v>34</v>
      </c>
      <c r="D21" s="1" t="s">
        <v>22</v>
      </c>
      <c r="G21" s="1" t="s">
        <v>52</v>
      </c>
      <c r="K21" s="1" t="s">
        <v>24</v>
      </c>
      <c r="N21" s="1">
        <v>75.0</v>
      </c>
      <c r="O21" s="1">
        <v>89.0</v>
      </c>
      <c r="P21" s="1">
        <v>66.0</v>
      </c>
      <c r="Q21" s="1">
        <v>4606.78</v>
      </c>
      <c r="R21" s="1">
        <v>0.8</v>
      </c>
      <c r="T21" s="3">
        <v>21.1</v>
      </c>
    </row>
    <row r="22" ht="15.75" customHeight="1">
      <c r="A22" s="1" t="s">
        <v>25</v>
      </c>
      <c r="B22" s="1">
        <v>58.0</v>
      </c>
      <c r="C22" s="1" t="s">
        <v>21</v>
      </c>
      <c r="D22" s="1" t="s">
        <v>22</v>
      </c>
      <c r="G22" s="1" t="s">
        <v>52</v>
      </c>
      <c r="K22" s="1" t="s">
        <v>24</v>
      </c>
      <c r="N22" s="1">
        <v>25.0</v>
      </c>
      <c r="O22" s="1">
        <v>37.0</v>
      </c>
      <c r="P22" s="1">
        <v>25.0</v>
      </c>
      <c r="Q22" s="1">
        <v>2201.79</v>
      </c>
      <c r="R22" s="1">
        <v>0.38</v>
      </c>
      <c r="T22" s="3">
        <v>21.1</v>
      </c>
    </row>
    <row r="23" ht="15.75" customHeight="1">
      <c r="A23" s="1" t="s">
        <v>20</v>
      </c>
      <c r="B23" s="1">
        <v>36.0</v>
      </c>
      <c r="C23" s="1" t="s">
        <v>42</v>
      </c>
      <c r="D23" s="1" t="s">
        <v>22</v>
      </c>
      <c r="G23" s="1" t="s">
        <v>53</v>
      </c>
      <c r="K23" s="1" t="s">
        <v>24</v>
      </c>
      <c r="N23" s="1">
        <v>58.0</v>
      </c>
      <c r="O23" s="1">
        <v>68.0</v>
      </c>
      <c r="P23" s="1">
        <v>51.0</v>
      </c>
      <c r="Q23" s="1">
        <v>3982.95</v>
      </c>
      <c r="R23" s="1">
        <v>0.69</v>
      </c>
      <c r="T23" s="3">
        <v>21.1</v>
      </c>
    </row>
    <row r="24" ht="15.75" customHeight="1">
      <c r="A24" s="1" t="s">
        <v>25</v>
      </c>
      <c r="B24" s="1">
        <v>102.0</v>
      </c>
      <c r="C24" s="1" t="s">
        <v>26</v>
      </c>
      <c r="D24" s="1" t="s">
        <v>22</v>
      </c>
      <c r="G24" s="1" t="s">
        <v>53</v>
      </c>
      <c r="K24" s="1" t="s">
        <v>24</v>
      </c>
      <c r="N24" s="1">
        <v>12.0</v>
      </c>
      <c r="O24" s="1">
        <v>18.0</v>
      </c>
      <c r="P24" s="1">
        <v>12.0</v>
      </c>
      <c r="Q24" s="1">
        <v>1103.48</v>
      </c>
      <c r="R24" s="1">
        <v>0.19</v>
      </c>
      <c r="T24" s="3">
        <v>21.1</v>
      </c>
    </row>
    <row r="25" ht="15.75" customHeight="1">
      <c r="A25" s="1" t="s">
        <v>25</v>
      </c>
      <c r="B25" s="1">
        <v>48.0</v>
      </c>
      <c r="C25" s="1" t="s">
        <v>44</v>
      </c>
      <c r="D25" s="1" t="s">
        <v>22</v>
      </c>
      <c r="G25" s="1" t="s">
        <v>54</v>
      </c>
      <c r="K25" s="1" t="s">
        <v>24</v>
      </c>
      <c r="N25" s="1">
        <v>36.0</v>
      </c>
      <c r="O25" s="1">
        <v>45.0</v>
      </c>
      <c r="P25" s="1">
        <v>31.0</v>
      </c>
      <c r="Q25" s="1">
        <v>2709.87</v>
      </c>
      <c r="R25" s="1">
        <v>0.47</v>
      </c>
      <c r="T25" s="3">
        <v>21.1</v>
      </c>
    </row>
    <row r="26" ht="15.75" customHeight="1">
      <c r="A26" s="1" t="s">
        <v>25</v>
      </c>
      <c r="B26" s="1">
        <v>117.0</v>
      </c>
      <c r="C26" s="1" t="s">
        <v>28</v>
      </c>
      <c r="D26" s="1" t="s">
        <v>22</v>
      </c>
      <c r="G26" s="1" t="s">
        <v>54</v>
      </c>
      <c r="K26" s="1" t="s">
        <v>24</v>
      </c>
      <c r="N26" s="1">
        <v>7.0</v>
      </c>
      <c r="O26" s="1">
        <v>10.0</v>
      </c>
      <c r="P26" s="1">
        <v>6.0</v>
      </c>
      <c r="Q26" s="1">
        <v>799.18</v>
      </c>
      <c r="R26" s="1">
        <v>0.14</v>
      </c>
      <c r="T26" s="3">
        <v>21.1</v>
      </c>
    </row>
    <row r="27" ht="15.75" customHeight="1">
      <c r="A27" s="1" t="s">
        <v>25</v>
      </c>
      <c r="B27" s="1">
        <v>112.0</v>
      </c>
      <c r="C27" s="1" t="s">
        <v>28</v>
      </c>
      <c r="D27" s="1" t="s">
        <v>22</v>
      </c>
      <c r="G27" s="1" t="s">
        <v>55</v>
      </c>
      <c r="K27" s="1" t="s">
        <v>24</v>
      </c>
      <c r="N27" s="1">
        <v>7.0</v>
      </c>
      <c r="O27" s="1">
        <v>13.0</v>
      </c>
      <c r="P27" s="1">
        <v>7.0</v>
      </c>
      <c r="Q27" s="1">
        <v>832.53</v>
      </c>
      <c r="R27" s="1">
        <v>0.15</v>
      </c>
      <c r="T27" s="3">
        <v>21.1</v>
      </c>
    </row>
    <row r="28" ht="15.75" customHeight="1">
      <c r="A28" s="1" t="s">
        <v>25</v>
      </c>
      <c r="B28" s="1">
        <v>241.0</v>
      </c>
      <c r="C28" s="1" t="s">
        <v>44</v>
      </c>
      <c r="D28" s="1" t="s">
        <v>22</v>
      </c>
      <c r="G28" s="1" t="s">
        <v>56</v>
      </c>
      <c r="K28" s="1" t="s">
        <v>24</v>
      </c>
      <c r="N28" s="1">
        <v>1.0</v>
      </c>
      <c r="O28" s="1">
        <v>1.0</v>
      </c>
      <c r="P28" s="1">
        <v>1.0</v>
      </c>
      <c r="Q28" s="1">
        <v>45.42</v>
      </c>
      <c r="R28" s="1">
        <v>0.01</v>
      </c>
      <c r="T28" s="3">
        <v>21.1</v>
      </c>
    </row>
    <row r="29" ht="15.75" customHeight="1">
      <c r="A29" s="1" t="s">
        <v>25</v>
      </c>
      <c r="B29" s="1">
        <v>84.0</v>
      </c>
      <c r="C29" s="1" t="s">
        <v>45</v>
      </c>
      <c r="D29" s="1" t="s">
        <v>22</v>
      </c>
      <c r="G29" s="1" t="s">
        <v>57</v>
      </c>
      <c r="K29" s="1" t="s">
        <v>24</v>
      </c>
      <c r="N29" s="1">
        <v>17.0</v>
      </c>
      <c r="O29" s="1">
        <v>21.0</v>
      </c>
      <c r="P29" s="1">
        <v>15.0</v>
      </c>
      <c r="Q29" s="1">
        <v>1430.51</v>
      </c>
      <c r="R29" s="1">
        <v>0.25</v>
      </c>
      <c r="T29" s="3">
        <v>21.1</v>
      </c>
    </row>
    <row r="30" ht="15.75" customHeight="1">
      <c r="A30" s="1" t="s">
        <v>25</v>
      </c>
      <c r="B30" s="1">
        <v>133.0</v>
      </c>
      <c r="C30" s="1" t="s">
        <v>58</v>
      </c>
      <c r="D30" s="1" t="s">
        <v>22</v>
      </c>
      <c r="G30" s="1" t="s">
        <v>57</v>
      </c>
      <c r="K30" s="1" t="s">
        <v>24</v>
      </c>
      <c r="N30" s="1">
        <v>6.0</v>
      </c>
      <c r="O30" s="1">
        <v>9.0</v>
      </c>
      <c r="P30" s="1">
        <v>6.0</v>
      </c>
      <c r="Q30" s="1">
        <v>630.26</v>
      </c>
      <c r="R30" s="1">
        <v>0.11</v>
      </c>
      <c r="T30" s="3">
        <v>21.1</v>
      </c>
    </row>
    <row r="31" ht="15.75" customHeight="1">
      <c r="A31" s="1" t="s">
        <v>25</v>
      </c>
      <c r="B31" s="1">
        <v>73.0</v>
      </c>
      <c r="C31" s="1" t="s">
        <v>49</v>
      </c>
      <c r="D31" s="1" t="s">
        <v>22</v>
      </c>
      <c r="G31" s="1" t="s">
        <v>59</v>
      </c>
      <c r="K31" s="1" t="s">
        <v>24</v>
      </c>
      <c r="N31" s="1">
        <v>25.0</v>
      </c>
      <c r="O31" s="1">
        <v>33.0</v>
      </c>
      <c r="P31" s="1">
        <v>20.0</v>
      </c>
      <c r="Q31" s="1">
        <v>1857.48</v>
      </c>
      <c r="R31" s="1">
        <v>0.32</v>
      </c>
      <c r="T31" s="3">
        <v>21.1</v>
      </c>
    </row>
    <row r="32" ht="15.75" customHeight="1">
      <c r="A32" s="1" t="s">
        <v>25</v>
      </c>
      <c r="B32" s="1">
        <v>156.0</v>
      </c>
      <c r="C32" s="1" t="s">
        <v>47</v>
      </c>
      <c r="D32" s="1" t="s">
        <v>22</v>
      </c>
      <c r="G32" s="1" t="s">
        <v>59</v>
      </c>
      <c r="K32" s="1" t="s">
        <v>24</v>
      </c>
      <c r="N32" s="1">
        <v>4.0</v>
      </c>
      <c r="O32" s="1">
        <v>6.0</v>
      </c>
      <c r="P32" s="1">
        <v>4.0</v>
      </c>
      <c r="Q32" s="1">
        <v>419.4</v>
      </c>
      <c r="R32" s="1">
        <v>0.07</v>
      </c>
      <c r="T32" s="3">
        <v>21.1</v>
      </c>
    </row>
    <row r="33" ht="15.75" customHeight="1">
      <c r="A33" s="1" t="s">
        <v>25</v>
      </c>
      <c r="B33" s="1">
        <v>120.0</v>
      </c>
      <c r="C33" s="1" t="s">
        <v>60</v>
      </c>
      <c r="D33" s="1" t="s">
        <v>22</v>
      </c>
      <c r="G33" s="1" t="s">
        <v>61</v>
      </c>
      <c r="K33" s="1" t="s">
        <v>24</v>
      </c>
      <c r="N33" s="1">
        <v>22.0</v>
      </c>
      <c r="O33" s="1">
        <v>27.0</v>
      </c>
      <c r="P33" s="1">
        <v>16.0</v>
      </c>
      <c r="Q33" s="1">
        <v>781.53</v>
      </c>
      <c r="R33" s="1">
        <v>0.14</v>
      </c>
      <c r="T33" s="3">
        <v>15.08</v>
      </c>
    </row>
    <row r="34" ht="15.75" customHeight="1">
      <c r="A34" s="1" t="s">
        <v>25</v>
      </c>
      <c r="B34" s="1">
        <v>249.0</v>
      </c>
      <c r="C34" s="1" t="s">
        <v>62</v>
      </c>
      <c r="D34" s="1" t="s">
        <v>22</v>
      </c>
      <c r="G34" s="1" t="s">
        <v>63</v>
      </c>
      <c r="K34" s="1" t="s">
        <v>24</v>
      </c>
      <c r="N34" s="1">
        <v>1.0</v>
      </c>
      <c r="O34" s="1">
        <v>1.0</v>
      </c>
      <c r="P34" s="1">
        <v>1.0</v>
      </c>
      <c r="Q34" s="1">
        <v>24.52</v>
      </c>
      <c r="R34" s="1">
        <v>0.0</v>
      </c>
      <c r="T34" s="3">
        <v>15.08</v>
      </c>
    </row>
    <row r="35" ht="15.75" customHeight="1">
      <c r="A35" s="1" t="s">
        <v>25</v>
      </c>
      <c r="B35" s="1">
        <v>70.0</v>
      </c>
      <c r="C35" s="1" t="s">
        <v>60</v>
      </c>
      <c r="D35" s="1" t="s">
        <v>22</v>
      </c>
      <c r="G35" s="1" t="s">
        <v>64</v>
      </c>
      <c r="K35" s="1" t="s">
        <v>24</v>
      </c>
      <c r="N35" s="1">
        <v>37.0</v>
      </c>
      <c r="O35" s="1">
        <v>51.0</v>
      </c>
      <c r="P35" s="1">
        <v>32.0</v>
      </c>
      <c r="Q35" s="1">
        <v>1980.15</v>
      </c>
      <c r="R35" s="1">
        <v>0.35</v>
      </c>
      <c r="T35" s="3">
        <v>15.08</v>
      </c>
    </row>
    <row r="36" ht="15.75" customHeight="1">
      <c r="A36" s="1" t="s">
        <v>25</v>
      </c>
      <c r="B36" s="1">
        <v>88.0</v>
      </c>
      <c r="C36" s="1" t="s">
        <v>60</v>
      </c>
      <c r="D36" s="1" t="s">
        <v>22</v>
      </c>
      <c r="G36" s="1" t="s">
        <v>65</v>
      </c>
      <c r="K36" s="1" t="s">
        <v>24</v>
      </c>
      <c r="N36" s="1">
        <v>42.0</v>
      </c>
      <c r="O36" s="1">
        <v>43.0</v>
      </c>
      <c r="P36" s="1">
        <v>34.0</v>
      </c>
      <c r="Q36" s="1">
        <v>1339.29</v>
      </c>
      <c r="R36" s="1">
        <v>0.23</v>
      </c>
      <c r="T36" s="3">
        <v>15.08</v>
      </c>
    </row>
    <row r="37" ht="15.75" customHeight="1">
      <c r="A37" s="1" t="s">
        <v>25</v>
      </c>
      <c r="B37" s="1">
        <v>144.0</v>
      </c>
      <c r="C37" s="1" t="s">
        <v>66</v>
      </c>
      <c r="D37" s="1" t="s">
        <v>22</v>
      </c>
      <c r="G37" s="1" t="s">
        <v>65</v>
      </c>
      <c r="K37" s="1" t="s">
        <v>24</v>
      </c>
      <c r="N37" s="1">
        <v>15.0</v>
      </c>
      <c r="O37" s="1">
        <v>15.0</v>
      </c>
      <c r="P37" s="1">
        <v>14.0</v>
      </c>
      <c r="Q37" s="1">
        <v>519.3</v>
      </c>
      <c r="R37" s="1">
        <v>0.09</v>
      </c>
      <c r="T37" s="3">
        <v>15.08</v>
      </c>
    </row>
    <row r="38" ht="15.75" customHeight="1">
      <c r="A38" s="1" t="s">
        <v>25</v>
      </c>
      <c r="B38" s="1">
        <v>194.0</v>
      </c>
      <c r="C38" s="1" t="s">
        <v>67</v>
      </c>
      <c r="D38" s="1" t="s">
        <v>22</v>
      </c>
      <c r="G38" s="1" t="s">
        <v>68</v>
      </c>
      <c r="K38" s="1" t="s">
        <v>24</v>
      </c>
      <c r="N38" s="1">
        <v>5.0</v>
      </c>
      <c r="O38" s="1">
        <v>5.0</v>
      </c>
      <c r="P38" s="1">
        <v>5.0</v>
      </c>
      <c r="Q38" s="1">
        <v>191.92</v>
      </c>
      <c r="R38" s="1">
        <v>0.03</v>
      </c>
      <c r="T38" s="3">
        <v>15.08</v>
      </c>
    </row>
    <row r="39" ht="15.75" customHeight="1">
      <c r="A39" s="1" t="s">
        <v>25</v>
      </c>
      <c r="B39" s="1">
        <v>225.0</v>
      </c>
      <c r="C39" s="1" t="s">
        <v>69</v>
      </c>
      <c r="D39" s="1" t="s">
        <v>22</v>
      </c>
      <c r="G39" s="1" t="s">
        <v>68</v>
      </c>
      <c r="K39" s="1" t="s">
        <v>24</v>
      </c>
      <c r="N39" s="1">
        <v>3.0</v>
      </c>
      <c r="O39" s="1">
        <v>3.0</v>
      </c>
      <c r="P39" s="1">
        <v>1.0</v>
      </c>
      <c r="Q39" s="1">
        <v>101.76</v>
      </c>
      <c r="R39" s="1">
        <v>0.02</v>
      </c>
      <c r="T39" s="3">
        <v>15.08</v>
      </c>
    </row>
    <row r="40" ht="15.75" customHeight="1">
      <c r="A40" s="1" t="s">
        <v>25</v>
      </c>
      <c r="B40" s="1">
        <v>148.0</v>
      </c>
      <c r="C40" s="1" t="s">
        <v>62</v>
      </c>
      <c r="D40" s="1" t="s">
        <v>22</v>
      </c>
      <c r="G40" s="1" t="s">
        <v>70</v>
      </c>
      <c r="K40" s="1" t="s">
        <v>24</v>
      </c>
      <c r="N40" s="1">
        <v>15.0</v>
      </c>
      <c r="O40" s="1">
        <v>15.0</v>
      </c>
      <c r="P40" s="1">
        <v>15.0</v>
      </c>
      <c r="Q40" s="1">
        <v>495.81</v>
      </c>
      <c r="R40" s="1">
        <v>0.09</v>
      </c>
      <c r="T40" s="3">
        <v>15.08</v>
      </c>
    </row>
    <row r="41" ht="15.75" customHeight="1">
      <c r="A41" s="1" t="s">
        <v>25</v>
      </c>
      <c r="B41" s="1">
        <v>222.0</v>
      </c>
      <c r="C41" s="1" t="s">
        <v>71</v>
      </c>
      <c r="D41" s="1" t="s">
        <v>22</v>
      </c>
      <c r="G41" s="1" t="s">
        <v>70</v>
      </c>
      <c r="K41" s="1" t="s">
        <v>24</v>
      </c>
      <c r="N41" s="1">
        <v>3.0</v>
      </c>
      <c r="O41" s="1">
        <v>3.0</v>
      </c>
      <c r="P41" s="1">
        <v>3.0</v>
      </c>
      <c r="Q41" s="1">
        <v>107.04</v>
      </c>
      <c r="R41" s="1">
        <v>0.02</v>
      </c>
      <c r="T41" s="3">
        <v>15.08</v>
      </c>
    </row>
    <row r="42" ht="15.75" customHeight="1">
      <c r="A42" s="1" t="s">
        <v>25</v>
      </c>
      <c r="B42" s="1">
        <v>180.0</v>
      </c>
      <c r="C42" s="1" t="s">
        <v>72</v>
      </c>
      <c r="D42" s="1" t="s">
        <v>22</v>
      </c>
      <c r="G42" s="1" t="s">
        <v>73</v>
      </c>
      <c r="K42" s="1" t="s">
        <v>24</v>
      </c>
      <c r="N42" s="1">
        <v>9.0</v>
      </c>
      <c r="O42" s="1">
        <v>9.0</v>
      </c>
      <c r="P42" s="1">
        <v>9.0</v>
      </c>
      <c r="Q42" s="1">
        <v>279.1</v>
      </c>
      <c r="R42" s="1">
        <v>0.05</v>
      </c>
      <c r="T42" s="3">
        <v>15.08</v>
      </c>
    </row>
    <row r="43" ht="15.75" customHeight="1">
      <c r="A43" s="1" t="s">
        <v>25</v>
      </c>
      <c r="B43" s="1">
        <v>217.0</v>
      </c>
      <c r="C43" s="1" t="s">
        <v>74</v>
      </c>
      <c r="D43" s="1" t="s">
        <v>22</v>
      </c>
      <c r="G43" s="1" t="s">
        <v>73</v>
      </c>
      <c r="K43" s="1" t="s">
        <v>24</v>
      </c>
      <c r="N43" s="1">
        <v>3.0</v>
      </c>
      <c r="O43" s="1">
        <v>3.0</v>
      </c>
      <c r="P43" s="1">
        <v>3.0</v>
      </c>
      <c r="Q43" s="1">
        <v>119.7</v>
      </c>
      <c r="R43" s="1">
        <v>0.02</v>
      </c>
      <c r="T43" s="3">
        <v>15.08</v>
      </c>
    </row>
    <row r="44" ht="15.75" customHeight="1">
      <c r="A44" s="1" t="s">
        <v>25</v>
      </c>
      <c r="B44" s="1">
        <v>188.0</v>
      </c>
      <c r="C44" s="1" t="s">
        <v>72</v>
      </c>
      <c r="D44" s="1" t="s">
        <v>22</v>
      </c>
      <c r="G44" s="1" t="s">
        <v>75</v>
      </c>
      <c r="K44" s="1" t="s">
        <v>24</v>
      </c>
      <c r="N44" s="1">
        <v>10.0</v>
      </c>
      <c r="O44" s="1">
        <v>12.0</v>
      </c>
      <c r="P44" s="1">
        <v>10.0</v>
      </c>
      <c r="Q44" s="1">
        <v>228.0</v>
      </c>
      <c r="R44" s="1">
        <v>0.04</v>
      </c>
      <c r="T44" s="3">
        <v>15.08</v>
      </c>
    </row>
    <row r="45" ht="15.75" customHeight="1">
      <c r="A45" s="1" t="s">
        <v>25</v>
      </c>
      <c r="B45" s="1">
        <v>185.0</v>
      </c>
      <c r="C45" s="1" t="s">
        <v>72</v>
      </c>
      <c r="D45" s="1" t="s">
        <v>22</v>
      </c>
      <c r="G45" s="1" t="s">
        <v>76</v>
      </c>
      <c r="K45" s="1" t="s">
        <v>24</v>
      </c>
      <c r="N45" s="1">
        <v>8.0</v>
      </c>
      <c r="O45" s="1">
        <v>8.0</v>
      </c>
      <c r="P45" s="1">
        <v>8.0</v>
      </c>
      <c r="Q45" s="1">
        <v>234.72</v>
      </c>
      <c r="R45" s="1">
        <v>0.04</v>
      </c>
      <c r="T45" s="3">
        <v>15.08</v>
      </c>
    </row>
    <row r="46" ht="15.75" customHeight="1">
      <c r="A46" s="1" t="s">
        <v>25</v>
      </c>
      <c r="B46" s="1">
        <v>55.0</v>
      </c>
      <c r="C46" s="1" t="s">
        <v>66</v>
      </c>
      <c r="D46" s="1" t="s">
        <v>22</v>
      </c>
      <c r="G46" s="1" t="s">
        <v>77</v>
      </c>
      <c r="K46" s="1" t="s">
        <v>24</v>
      </c>
      <c r="N46" s="1">
        <v>44.0</v>
      </c>
      <c r="O46" s="1">
        <v>70.0</v>
      </c>
      <c r="P46" s="1">
        <v>44.0</v>
      </c>
      <c r="Q46" s="1">
        <v>2320.68</v>
      </c>
      <c r="R46" s="1">
        <v>0.4</v>
      </c>
      <c r="T46" s="3">
        <v>15.08</v>
      </c>
    </row>
    <row r="47" ht="15.75" customHeight="1">
      <c r="A47" s="1" t="s">
        <v>25</v>
      </c>
      <c r="B47" s="1">
        <v>91.0</v>
      </c>
      <c r="C47" s="1" t="s">
        <v>60</v>
      </c>
      <c r="D47" s="1" t="s">
        <v>22</v>
      </c>
      <c r="G47" s="1" t="s">
        <v>77</v>
      </c>
      <c r="K47" s="1" t="s">
        <v>24</v>
      </c>
      <c r="N47" s="1">
        <v>28.0</v>
      </c>
      <c r="O47" s="1">
        <v>35.0</v>
      </c>
      <c r="P47" s="1">
        <v>28.0</v>
      </c>
      <c r="Q47" s="1">
        <v>1307.32</v>
      </c>
      <c r="R47" s="1">
        <v>0.23</v>
      </c>
      <c r="T47" s="3">
        <v>15.08</v>
      </c>
    </row>
    <row r="48" ht="15.75" customHeight="1">
      <c r="A48" s="1" t="s">
        <v>25</v>
      </c>
      <c r="B48" s="1">
        <v>136.0</v>
      </c>
      <c r="C48" s="1" t="s">
        <v>67</v>
      </c>
      <c r="D48" s="1" t="s">
        <v>22</v>
      </c>
      <c r="G48" s="1" t="s">
        <v>78</v>
      </c>
      <c r="K48" s="1" t="s">
        <v>24</v>
      </c>
      <c r="N48" s="1">
        <v>15.0</v>
      </c>
      <c r="O48" s="1">
        <v>15.0</v>
      </c>
      <c r="P48" s="1">
        <v>15.0</v>
      </c>
      <c r="Q48" s="1">
        <v>587.6</v>
      </c>
      <c r="R48" s="1">
        <v>0.1</v>
      </c>
      <c r="T48" s="3">
        <v>15.08</v>
      </c>
    </row>
    <row r="49" ht="15.75" customHeight="1">
      <c r="A49" s="1" t="s">
        <v>25</v>
      </c>
      <c r="B49" s="1">
        <v>203.0</v>
      </c>
      <c r="C49" s="1" t="s">
        <v>69</v>
      </c>
      <c r="D49" s="1" t="s">
        <v>22</v>
      </c>
      <c r="G49" s="1" t="s">
        <v>78</v>
      </c>
      <c r="K49" s="1" t="s">
        <v>24</v>
      </c>
      <c r="N49" s="1">
        <v>4.0</v>
      </c>
      <c r="O49" s="1">
        <v>4.0</v>
      </c>
      <c r="P49" s="1">
        <v>4.0</v>
      </c>
      <c r="Q49" s="1">
        <v>155.61</v>
      </c>
      <c r="R49" s="1">
        <v>0.03</v>
      </c>
      <c r="T49" s="3">
        <v>15.08</v>
      </c>
    </row>
    <row r="50" ht="15.75" customHeight="1">
      <c r="A50" s="1" t="s">
        <v>25</v>
      </c>
      <c r="B50" s="1">
        <v>162.0</v>
      </c>
      <c r="C50" s="1" t="s">
        <v>71</v>
      </c>
      <c r="D50" s="1" t="s">
        <v>22</v>
      </c>
      <c r="G50" s="1" t="s">
        <v>79</v>
      </c>
      <c r="K50" s="1" t="s">
        <v>24</v>
      </c>
      <c r="N50" s="1">
        <v>12.0</v>
      </c>
      <c r="O50" s="1">
        <v>12.0</v>
      </c>
      <c r="P50" s="1">
        <v>12.0</v>
      </c>
      <c r="Q50" s="1">
        <v>377.61</v>
      </c>
      <c r="R50" s="1">
        <v>0.07</v>
      </c>
      <c r="T50" s="3">
        <v>15.08</v>
      </c>
    </row>
    <row r="51" ht="15.75" customHeight="1">
      <c r="A51" s="1" t="s">
        <v>25</v>
      </c>
      <c r="B51" s="1">
        <v>231.0</v>
      </c>
      <c r="C51" s="1" t="s">
        <v>62</v>
      </c>
      <c r="D51" s="1" t="s">
        <v>22</v>
      </c>
      <c r="G51" s="1" t="s">
        <v>79</v>
      </c>
      <c r="K51" s="1" t="s">
        <v>24</v>
      </c>
      <c r="N51" s="1">
        <v>2.0</v>
      </c>
      <c r="O51" s="1">
        <v>2.0</v>
      </c>
      <c r="P51" s="1">
        <v>2.0</v>
      </c>
      <c r="Q51" s="1">
        <v>75.81</v>
      </c>
      <c r="R51" s="1">
        <v>0.01</v>
      </c>
      <c r="T51" s="3">
        <v>15.08</v>
      </c>
    </row>
    <row r="52" ht="15.75" customHeight="1">
      <c r="A52" s="1" t="s">
        <v>25</v>
      </c>
      <c r="B52" s="1">
        <v>220.0</v>
      </c>
      <c r="C52" s="1" t="s">
        <v>62</v>
      </c>
      <c r="D52" s="1" t="s">
        <v>22</v>
      </c>
      <c r="G52" s="1" t="s">
        <v>80</v>
      </c>
      <c r="K52" s="1" t="s">
        <v>24</v>
      </c>
      <c r="N52" s="1">
        <v>2.0</v>
      </c>
      <c r="O52" s="1">
        <v>2.0</v>
      </c>
      <c r="P52" s="1">
        <v>2.0</v>
      </c>
      <c r="Q52" s="1">
        <v>109.05</v>
      </c>
      <c r="R52" s="1">
        <v>0.02</v>
      </c>
      <c r="T52" s="3">
        <v>15.08</v>
      </c>
    </row>
    <row r="53" ht="15.75" customHeight="1">
      <c r="A53" s="1" t="s">
        <v>25</v>
      </c>
      <c r="B53" s="1">
        <v>124.0</v>
      </c>
      <c r="C53" s="1" t="s">
        <v>81</v>
      </c>
      <c r="D53" s="1" t="s">
        <v>22</v>
      </c>
      <c r="G53" s="1" t="s">
        <v>82</v>
      </c>
      <c r="K53" s="1" t="s">
        <v>24</v>
      </c>
      <c r="N53" s="1">
        <v>17.0</v>
      </c>
      <c r="O53" s="1">
        <v>18.0</v>
      </c>
      <c r="P53" s="1">
        <v>16.0</v>
      </c>
      <c r="Q53" s="1">
        <v>718.2</v>
      </c>
      <c r="R53" s="1">
        <v>0.13</v>
      </c>
      <c r="T53" s="3">
        <v>15.08</v>
      </c>
    </row>
    <row r="54" ht="15.75" customHeight="1">
      <c r="A54" s="1" t="s">
        <v>25</v>
      </c>
      <c r="B54" s="1">
        <v>216.0</v>
      </c>
      <c r="C54" s="1" t="s">
        <v>83</v>
      </c>
      <c r="D54" s="1" t="s">
        <v>22</v>
      </c>
      <c r="G54" s="1" t="s">
        <v>82</v>
      </c>
      <c r="K54" s="1" t="s">
        <v>24</v>
      </c>
      <c r="N54" s="1">
        <v>3.0</v>
      </c>
      <c r="O54" s="1">
        <v>3.0</v>
      </c>
      <c r="P54" s="1">
        <v>3.0</v>
      </c>
      <c r="Q54" s="1">
        <v>119.7</v>
      </c>
      <c r="R54" s="1">
        <v>0.02</v>
      </c>
      <c r="T54" s="3">
        <v>15.08</v>
      </c>
    </row>
    <row r="55" ht="15.75" customHeight="1">
      <c r="A55" s="1" t="s">
        <v>25</v>
      </c>
      <c r="B55" s="1">
        <v>139.0</v>
      </c>
      <c r="C55" s="1" t="s">
        <v>74</v>
      </c>
      <c r="D55" s="1" t="s">
        <v>22</v>
      </c>
      <c r="G55" s="1" t="s">
        <v>84</v>
      </c>
      <c r="K55" s="1" t="s">
        <v>24</v>
      </c>
      <c r="N55" s="1">
        <v>16.0</v>
      </c>
      <c r="O55" s="1">
        <v>16.0</v>
      </c>
      <c r="P55" s="1">
        <v>15.0</v>
      </c>
      <c r="Q55" s="1">
        <v>564.86</v>
      </c>
      <c r="R55" s="1">
        <v>0.1</v>
      </c>
      <c r="T55" s="3">
        <v>15.08</v>
      </c>
    </row>
    <row r="56" ht="15.75" customHeight="1">
      <c r="A56" s="1" t="s">
        <v>25</v>
      </c>
      <c r="B56" s="1">
        <v>192.0</v>
      </c>
      <c r="C56" s="1" t="s">
        <v>72</v>
      </c>
      <c r="D56" s="1" t="s">
        <v>22</v>
      </c>
      <c r="G56" s="1" t="s">
        <v>84</v>
      </c>
      <c r="K56" s="1" t="s">
        <v>24</v>
      </c>
      <c r="N56" s="1">
        <v>3.0</v>
      </c>
      <c r="O56" s="1">
        <v>3.0</v>
      </c>
      <c r="P56" s="1">
        <v>3.0</v>
      </c>
      <c r="Q56" s="1">
        <v>195.89</v>
      </c>
      <c r="R56" s="1">
        <v>0.03</v>
      </c>
      <c r="T56" s="3">
        <v>15.08</v>
      </c>
    </row>
    <row r="57" ht="15.75" customHeight="1">
      <c r="A57" s="1" t="s">
        <v>25</v>
      </c>
      <c r="B57" s="1">
        <v>245.0</v>
      </c>
      <c r="C57" s="1" t="s">
        <v>74</v>
      </c>
      <c r="D57" s="1" t="s">
        <v>22</v>
      </c>
      <c r="G57" s="1" t="s">
        <v>85</v>
      </c>
      <c r="K57" s="1" t="s">
        <v>24</v>
      </c>
      <c r="N57" s="1">
        <v>1.0</v>
      </c>
      <c r="O57" s="1">
        <v>1.0</v>
      </c>
      <c r="P57" s="1">
        <v>1.0</v>
      </c>
      <c r="Q57" s="1">
        <v>39.9</v>
      </c>
      <c r="R57" s="1">
        <v>0.01</v>
      </c>
      <c r="T57" s="3">
        <v>15.08</v>
      </c>
    </row>
    <row r="58" ht="15.75" customHeight="1">
      <c r="A58" s="1" t="s">
        <v>32</v>
      </c>
      <c r="B58" s="1">
        <v>12.0</v>
      </c>
      <c r="C58" s="1" t="s">
        <v>86</v>
      </c>
      <c r="D58" s="1" t="s">
        <v>87</v>
      </c>
      <c r="G58" s="1" t="s">
        <v>88</v>
      </c>
      <c r="K58" s="1" t="s">
        <v>24</v>
      </c>
      <c r="N58" s="1">
        <v>112.0</v>
      </c>
      <c r="O58" s="1">
        <v>118.0</v>
      </c>
      <c r="P58" s="1">
        <v>94.0</v>
      </c>
      <c r="Q58" s="1">
        <v>9284.11</v>
      </c>
      <c r="R58" s="1">
        <v>1.62</v>
      </c>
      <c r="T58" s="3">
        <v>18.39</v>
      </c>
    </row>
    <row r="59" ht="15.75" customHeight="1">
      <c r="A59" s="1" t="s">
        <v>20</v>
      </c>
      <c r="B59" s="1">
        <v>24.0</v>
      </c>
      <c r="C59" s="1" t="s">
        <v>89</v>
      </c>
      <c r="D59" s="1" t="s">
        <v>87</v>
      </c>
      <c r="G59" s="1" t="s">
        <v>90</v>
      </c>
      <c r="K59" s="1" t="s">
        <v>24</v>
      </c>
      <c r="N59" s="1">
        <v>79.0</v>
      </c>
      <c r="O59" s="1">
        <v>85.0</v>
      </c>
      <c r="P59" s="1">
        <v>64.0</v>
      </c>
      <c r="Q59" s="1">
        <v>5776.14</v>
      </c>
      <c r="R59" s="1">
        <v>1.01</v>
      </c>
      <c r="T59" s="3">
        <v>18.39</v>
      </c>
    </row>
    <row r="60" ht="15.75" customHeight="1">
      <c r="A60" s="1" t="s">
        <v>20</v>
      </c>
      <c r="B60" s="1">
        <v>41.0</v>
      </c>
      <c r="C60" s="1" t="s">
        <v>91</v>
      </c>
      <c r="D60" s="1" t="s">
        <v>87</v>
      </c>
      <c r="G60" s="1" t="s">
        <v>92</v>
      </c>
      <c r="K60" s="1" t="s">
        <v>24</v>
      </c>
      <c r="N60" s="1">
        <v>24.0</v>
      </c>
      <c r="O60" s="1">
        <v>24.0</v>
      </c>
      <c r="P60" s="1">
        <v>22.0</v>
      </c>
      <c r="Q60" s="1">
        <v>3063.98</v>
      </c>
      <c r="R60" s="1">
        <v>0.53</v>
      </c>
      <c r="T60" s="4">
        <f t="shared" ref="T60:T63" si="1">18.39*2</f>
        <v>36.78</v>
      </c>
    </row>
    <row r="61" ht="15.75" customHeight="1">
      <c r="A61" s="1" t="s">
        <v>25</v>
      </c>
      <c r="B61" s="1">
        <v>47.0</v>
      </c>
      <c r="C61" s="1" t="s">
        <v>93</v>
      </c>
      <c r="D61" s="1" t="s">
        <v>87</v>
      </c>
      <c r="G61" s="1" t="s">
        <v>92</v>
      </c>
      <c r="K61" s="1" t="s">
        <v>24</v>
      </c>
      <c r="N61" s="1">
        <v>22.0</v>
      </c>
      <c r="O61" s="1">
        <v>22.0</v>
      </c>
      <c r="P61" s="1">
        <v>20.0</v>
      </c>
      <c r="Q61" s="1">
        <v>2724.9</v>
      </c>
      <c r="R61" s="1">
        <v>0.47</v>
      </c>
      <c r="T61" s="4">
        <f t="shared" si="1"/>
        <v>36.78</v>
      </c>
    </row>
    <row r="62" ht="15.75" customHeight="1">
      <c r="A62" s="1" t="s">
        <v>20</v>
      </c>
      <c r="B62" s="1">
        <v>40.0</v>
      </c>
      <c r="C62" s="1" t="s">
        <v>94</v>
      </c>
      <c r="D62" s="1" t="s">
        <v>87</v>
      </c>
      <c r="G62" s="1" t="s">
        <v>95</v>
      </c>
      <c r="K62" s="1" t="s">
        <v>24</v>
      </c>
      <c r="N62" s="1">
        <v>24.0</v>
      </c>
      <c r="O62" s="1">
        <v>24.0</v>
      </c>
      <c r="P62" s="1">
        <v>20.0</v>
      </c>
      <c r="Q62" s="1">
        <v>3104.52</v>
      </c>
      <c r="R62" s="1">
        <v>0.54</v>
      </c>
      <c r="T62" s="4">
        <f t="shared" si="1"/>
        <v>36.78</v>
      </c>
    </row>
    <row r="63" ht="15.75" customHeight="1">
      <c r="A63" s="1" t="s">
        <v>25</v>
      </c>
      <c r="B63" s="1">
        <v>62.0</v>
      </c>
      <c r="C63" s="1" t="s">
        <v>96</v>
      </c>
      <c r="D63" s="1" t="s">
        <v>87</v>
      </c>
      <c r="G63" s="1" t="s">
        <v>95</v>
      </c>
      <c r="K63" s="1" t="s">
        <v>24</v>
      </c>
      <c r="N63" s="1">
        <v>17.0</v>
      </c>
      <c r="O63" s="1">
        <v>17.0</v>
      </c>
      <c r="P63" s="1">
        <v>15.0</v>
      </c>
      <c r="Q63" s="1">
        <v>2169.29</v>
      </c>
      <c r="R63" s="1">
        <v>0.38</v>
      </c>
      <c r="T63" s="4">
        <f t="shared" si="1"/>
        <v>36.78</v>
      </c>
    </row>
    <row r="64" ht="15.75" customHeight="1">
      <c r="A64" s="1" t="s">
        <v>25</v>
      </c>
      <c r="B64" s="1">
        <v>135.0</v>
      </c>
      <c r="C64" s="1" t="s">
        <v>97</v>
      </c>
      <c r="D64" s="1" t="s">
        <v>87</v>
      </c>
      <c r="G64" s="1" t="s">
        <v>98</v>
      </c>
      <c r="K64" s="1" t="s">
        <v>24</v>
      </c>
      <c r="N64" s="1">
        <v>72.0</v>
      </c>
      <c r="O64" s="1">
        <v>128.0</v>
      </c>
      <c r="P64" s="1">
        <v>68.0</v>
      </c>
      <c r="Q64" s="1">
        <v>618.73</v>
      </c>
      <c r="R64" s="1">
        <v>0.11</v>
      </c>
      <c r="T64" s="3">
        <v>1.05</v>
      </c>
    </row>
    <row r="65" ht="15.75" customHeight="1">
      <c r="A65" s="1" t="s">
        <v>25</v>
      </c>
      <c r="B65" s="1">
        <v>131.0</v>
      </c>
      <c r="C65" s="1" t="s">
        <v>99</v>
      </c>
      <c r="D65" s="1" t="s">
        <v>87</v>
      </c>
      <c r="G65" s="1" t="s">
        <v>100</v>
      </c>
      <c r="K65" s="1" t="s">
        <v>24</v>
      </c>
      <c r="N65" s="1">
        <v>72.0</v>
      </c>
      <c r="O65" s="1">
        <v>132.0</v>
      </c>
      <c r="P65" s="1">
        <v>68.0</v>
      </c>
      <c r="Q65" s="1">
        <v>643.33</v>
      </c>
      <c r="R65" s="1">
        <v>0.11</v>
      </c>
      <c r="T65" s="3">
        <v>1.05</v>
      </c>
    </row>
    <row r="66" ht="15.75" customHeight="1">
      <c r="A66" s="1" t="s">
        <v>25</v>
      </c>
      <c r="B66" s="1">
        <v>59.0</v>
      </c>
      <c r="C66" s="1" t="s">
        <v>101</v>
      </c>
      <c r="D66" s="1" t="s">
        <v>87</v>
      </c>
      <c r="G66" s="1" t="s">
        <v>102</v>
      </c>
      <c r="K66" s="1" t="s">
        <v>24</v>
      </c>
      <c r="N66" s="1">
        <v>9.0</v>
      </c>
      <c r="O66" s="1">
        <v>9.0</v>
      </c>
      <c r="P66" s="1">
        <v>9.0</v>
      </c>
      <c r="Q66" s="1">
        <v>2196.38</v>
      </c>
      <c r="R66" s="1">
        <v>0.38</v>
      </c>
      <c r="T66" s="4">
        <f t="shared" ref="T66:T69" si="2">18.39*4</f>
        <v>73.56</v>
      </c>
    </row>
    <row r="67" ht="15.75" customHeight="1">
      <c r="A67" s="1" t="s">
        <v>25</v>
      </c>
      <c r="B67" s="1">
        <v>83.0</v>
      </c>
      <c r="C67" s="1" t="s">
        <v>103</v>
      </c>
      <c r="D67" s="1" t="s">
        <v>87</v>
      </c>
      <c r="G67" s="1" t="s">
        <v>102</v>
      </c>
      <c r="K67" s="1" t="s">
        <v>24</v>
      </c>
      <c r="N67" s="1">
        <v>6.0</v>
      </c>
      <c r="O67" s="1">
        <v>6.0</v>
      </c>
      <c r="P67" s="1">
        <v>5.0</v>
      </c>
      <c r="Q67" s="1">
        <v>1477.33</v>
      </c>
      <c r="R67" s="1">
        <v>0.26</v>
      </c>
      <c r="T67" s="4">
        <f t="shared" si="2"/>
        <v>73.56</v>
      </c>
    </row>
    <row r="68" ht="15.75" customHeight="1">
      <c r="A68" s="1" t="s">
        <v>25</v>
      </c>
      <c r="B68" s="1">
        <v>94.0</v>
      </c>
      <c r="C68" s="1" t="s">
        <v>104</v>
      </c>
      <c r="D68" s="1" t="s">
        <v>87</v>
      </c>
      <c r="G68" s="1" t="s">
        <v>105</v>
      </c>
      <c r="K68" s="1" t="s">
        <v>24</v>
      </c>
      <c r="N68" s="1">
        <v>4.0</v>
      </c>
      <c r="O68" s="1">
        <v>5.0</v>
      </c>
      <c r="P68" s="1">
        <v>4.0</v>
      </c>
      <c r="Q68" s="1">
        <v>1245.0</v>
      </c>
      <c r="R68" s="1">
        <v>0.22</v>
      </c>
      <c r="T68" s="4">
        <f t="shared" si="2"/>
        <v>73.56</v>
      </c>
    </row>
    <row r="69" ht="15.75" customHeight="1">
      <c r="A69" s="1" t="s">
        <v>25</v>
      </c>
      <c r="B69" s="1">
        <v>104.0</v>
      </c>
      <c r="C69" s="1" t="s">
        <v>106</v>
      </c>
      <c r="D69" s="1" t="s">
        <v>87</v>
      </c>
      <c r="G69" s="1" t="s">
        <v>105</v>
      </c>
      <c r="K69" s="1" t="s">
        <v>24</v>
      </c>
      <c r="N69" s="1">
        <v>4.0</v>
      </c>
      <c r="O69" s="1">
        <v>4.0</v>
      </c>
      <c r="P69" s="1">
        <v>4.0</v>
      </c>
      <c r="Q69" s="1">
        <v>996.0</v>
      </c>
      <c r="R69" s="1">
        <v>0.17</v>
      </c>
      <c r="T69" s="4">
        <f t="shared" si="2"/>
        <v>73.56</v>
      </c>
    </row>
    <row r="70" ht="15.75" customHeight="1">
      <c r="A70" s="1" t="s">
        <v>32</v>
      </c>
      <c r="B70" s="1">
        <v>1.0</v>
      </c>
      <c r="C70" s="1" t="s">
        <v>86</v>
      </c>
      <c r="D70" s="1" t="s">
        <v>87</v>
      </c>
      <c r="G70" s="1" t="s">
        <v>107</v>
      </c>
      <c r="K70" s="1" t="s">
        <v>24</v>
      </c>
      <c r="N70" s="1">
        <v>654.0</v>
      </c>
      <c r="O70" s="1">
        <v>763.0</v>
      </c>
      <c r="P70" s="1">
        <v>532.0</v>
      </c>
      <c r="Q70" s="1">
        <v>45811.23</v>
      </c>
      <c r="R70" s="1">
        <v>7.98</v>
      </c>
      <c r="T70" s="3">
        <v>18.39</v>
      </c>
    </row>
    <row r="71" ht="15.75" customHeight="1">
      <c r="A71" s="1" t="s">
        <v>32</v>
      </c>
      <c r="B71" s="1">
        <v>3.0</v>
      </c>
      <c r="C71" s="1" t="s">
        <v>89</v>
      </c>
      <c r="D71" s="1" t="s">
        <v>87</v>
      </c>
      <c r="G71" s="1" t="s">
        <v>108</v>
      </c>
      <c r="K71" s="1" t="s">
        <v>24</v>
      </c>
      <c r="N71" s="1">
        <v>425.0</v>
      </c>
      <c r="O71" s="1">
        <v>495.0</v>
      </c>
      <c r="P71" s="1">
        <v>362.0</v>
      </c>
      <c r="Q71" s="1">
        <v>28903.93</v>
      </c>
      <c r="R71" s="1">
        <v>5.04</v>
      </c>
      <c r="T71" s="3">
        <v>18.39</v>
      </c>
    </row>
    <row r="72" ht="15.75" customHeight="1">
      <c r="A72" s="1" t="s">
        <v>20</v>
      </c>
      <c r="B72" s="1">
        <v>22.0</v>
      </c>
      <c r="C72" s="1" t="s">
        <v>86</v>
      </c>
      <c r="D72" s="1" t="s">
        <v>87</v>
      </c>
      <c r="G72" s="1" t="s">
        <v>109</v>
      </c>
      <c r="K72" s="1" t="s">
        <v>24</v>
      </c>
      <c r="N72" s="1">
        <v>86.0</v>
      </c>
      <c r="O72" s="1">
        <v>88.0</v>
      </c>
      <c r="P72" s="1">
        <v>74.0</v>
      </c>
      <c r="Q72" s="1">
        <v>5874.76</v>
      </c>
      <c r="R72" s="1">
        <v>1.02</v>
      </c>
      <c r="T72" s="3">
        <v>18.39</v>
      </c>
    </row>
    <row r="73" ht="15.75" customHeight="1">
      <c r="A73" s="1" t="s">
        <v>25</v>
      </c>
      <c r="B73" s="1">
        <v>181.0</v>
      </c>
      <c r="C73" s="1" t="s">
        <v>86</v>
      </c>
      <c r="D73" s="1" t="s">
        <v>87</v>
      </c>
      <c r="G73" s="1" t="s">
        <v>110</v>
      </c>
      <c r="K73" s="1" t="s">
        <v>24</v>
      </c>
      <c r="N73" s="1">
        <v>6.0</v>
      </c>
      <c r="O73" s="1">
        <v>6.0</v>
      </c>
      <c r="P73" s="1">
        <v>6.0</v>
      </c>
      <c r="Q73" s="1">
        <v>278.89</v>
      </c>
      <c r="R73" s="1">
        <v>0.05</v>
      </c>
      <c r="T73" s="3">
        <v>18.39</v>
      </c>
    </row>
    <row r="74" ht="15.75" customHeight="1">
      <c r="A74" s="1" t="s">
        <v>25</v>
      </c>
      <c r="B74" s="1">
        <v>201.0</v>
      </c>
      <c r="C74" s="1" t="s">
        <v>111</v>
      </c>
      <c r="D74" s="1" t="s">
        <v>87</v>
      </c>
      <c r="G74" s="1" t="s">
        <v>110</v>
      </c>
      <c r="K74" s="1" t="s">
        <v>24</v>
      </c>
      <c r="N74" s="1">
        <v>4.0</v>
      </c>
      <c r="O74" s="1">
        <v>4.0</v>
      </c>
      <c r="P74" s="1">
        <v>4.0</v>
      </c>
      <c r="Q74" s="1">
        <v>164.35</v>
      </c>
      <c r="R74" s="1">
        <v>0.03</v>
      </c>
      <c r="T74" s="3">
        <v>18.39</v>
      </c>
    </row>
    <row r="75" ht="15.75" customHeight="1">
      <c r="A75" s="1" t="s">
        <v>20</v>
      </c>
      <c r="B75" s="1">
        <v>29.0</v>
      </c>
      <c r="C75" s="1" t="s">
        <v>89</v>
      </c>
      <c r="D75" s="1" t="s">
        <v>87</v>
      </c>
      <c r="G75" s="1" t="s">
        <v>112</v>
      </c>
      <c r="K75" s="1" t="s">
        <v>24</v>
      </c>
      <c r="N75" s="1">
        <v>65.0</v>
      </c>
      <c r="O75" s="1">
        <v>69.0</v>
      </c>
      <c r="P75" s="1">
        <v>56.0</v>
      </c>
      <c r="Q75" s="1">
        <v>4675.6</v>
      </c>
      <c r="R75" s="1">
        <v>0.81</v>
      </c>
      <c r="T75" s="3">
        <v>18.39</v>
      </c>
    </row>
    <row r="76" ht="15.75" customHeight="1">
      <c r="A76" s="1" t="s">
        <v>25</v>
      </c>
      <c r="B76" s="1">
        <v>214.0</v>
      </c>
      <c r="C76" s="1" t="s">
        <v>113</v>
      </c>
      <c r="D76" s="1" t="s">
        <v>87</v>
      </c>
      <c r="G76" s="1" t="s">
        <v>114</v>
      </c>
      <c r="K76" s="1" t="s">
        <v>24</v>
      </c>
      <c r="N76" s="1">
        <v>2.0</v>
      </c>
      <c r="O76" s="1">
        <v>3.0</v>
      </c>
      <c r="P76" s="1">
        <v>2.0</v>
      </c>
      <c r="Q76" s="1">
        <v>124.07</v>
      </c>
      <c r="R76" s="1">
        <v>0.02</v>
      </c>
      <c r="T76" s="3">
        <v>18.39</v>
      </c>
    </row>
    <row r="77" ht="15.75" customHeight="1">
      <c r="A77" s="1" t="s">
        <v>25</v>
      </c>
      <c r="B77" s="1">
        <v>215.0</v>
      </c>
      <c r="C77" s="1" t="s">
        <v>89</v>
      </c>
      <c r="D77" s="1" t="s">
        <v>87</v>
      </c>
      <c r="G77" s="1" t="s">
        <v>114</v>
      </c>
      <c r="K77" s="1" t="s">
        <v>24</v>
      </c>
      <c r="N77" s="1">
        <v>3.0</v>
      </c>
      <c r="O77" s="1">
        <v>3.0</v>
      </c>
      <c r="P77" s="1">
        <v>3.0</v>
      </c>
      <c r="Q77" s="1">
        <v>122.45</v>
      </c>
      <c r="R77" s="1">
        <v>0.02</v>
      </c>
      <c r="T77" s="3">
        <v>18.39</v>
      </c>
    </row>
    <row r="78" ht="15.75" customHeight="1">
      <c r="A78" s="1" t="s">
        <v>25</v>
      </c>
      <c r="B78" s="1">
        <v>239.0</v>
      </c>
      <c r="C78" s="1" t="s">
        <v>97</v>
      </c>
      <c r="D78" s="1" t="s">
        <v>115</v>
      </c>
      <c r="G78" s="1" t="s">
        <v>116</v>
      </c>
      <c r="K78" s="1" t="s">
        <v>24</v>
      </c>
      <c r="N78" s="1">
        <v>4.0</v>
      </c>
      <c r="O78" s="1">
        <v>4.0</v>
      </c>
      <c r="P78" s="1">
        <v>4.0</v>
      </c>
      <c r="Q78" s="1">
        <v>47.47</v>
      </c>
      <c r="R78" s="1">
        <v>0.01</v>
      </c>
      <c r="T78" s="3">
        <v>1.05</v>
      </c>
    </row>
    <row r="79" ht="15.75" customHeight="1">
      <c r="A79" s="1" t="s">
        <v>25</v>
      </c>
      <c r="B79" s="1">
        <v>240.0</v>
      </c>
      <c r="C79" s="1" t="s">
        <v>99</v>
      </c>
      <c r="D79" s="1" t="s">
        <v>115</v>
      </c>
      <c r="G79" s="1" t="s">
        <v>117</v>
      </c>
      <c r="K79" s="1" t="s">
        <v>24</v>
      </c>
      <c r="N79" s="1">
        <v>4.0</v>
      </c>
      <c r="O79" s="1">
        <v>4.0</v>
      </c>
      <c r="P79" s="1">
        <v>4.0</v>
      </c>
      <c r="Q79" s="1">
        <v>47.47</v>
      </c>
      <c r="R79" s="1">
        <v>0.01</v>
      </c>
      <c r="T79" s="3">
        <v>1.05</v>
      </c>
    </row>
    <row r="80" ht="15.75" customHeight="1">
      <c r="A80" s="1" t="s">
        <v>25</v>
      </c>
      <c r="B80" s="1">
        <v>184.0</v>
      </c>
      <c r="C80" s="1" t="s">
        <v>97</v>
      </c>
      <c r="D80" s="1" t="s">
        <v>115</v>
      </c>
      <c r="G80" s="1" t="s">
        <v>118</v>
      </c>
      <c r="K80" s="1" t="s">
        <v>24</v>
      </c>
      <c r="N80" s="1">
        <v>37.0</v>
      </c>
      <c r="O80" s="1">
        <v>44.0</v>
      </c>
      <c r="P80" s="1">
        <v>33.0</v>
      </c>
      <c r="Q80" s="1">
        <v>260.98</v>
      </c>
      <c r="R80" s="1">
        <v>0.05</v>
      </c>
      <c r="T80" s="3">
        <v>1.05</v>
      </c>
    </row>
    <row r="81" ht="15.75" customHeight="1">
      <c r="A81" s="1" t="s">
        <v>25</v>
      </c>
      <c r="B81" s="1">
        <v>183.0</v>
      </c>
      <c r="C81" s="1" t="s">
        <v>99</v>
      </c>
      <c r="D81" s="1" t="s">
        <v>115</v>
      </c>
      <c r="G81" s="1" t="s">
        <v>119</v>
      </c>
      <c r="K81" s="1" t="s">
        <v>24</v>
      </c>
      <c r="N81" s="1">
        <v>36.0</v>
      </c>
      <c r="O81" s="1">
        <v>41.0</v>
      </c>
      <c r="P81" s="1">
        <v>32.0</v>
      </c>
      <c r="Q81" s="1">
        <v>268.26</v>
      </c>
      <c r="R81" s="1">
        <v>0.05</v>
      </c>
      <c r="T81" s="3">
        <v>1.05</v>
      </c>
    </row>
    <row r="82" ht="15.75" customHeight="1">
      <c r="A82" s="1" t="s">
        <v>25</v>
      </c>
      <c r="B82" s="1">
        <v>224.0</v>
      </c>
      <c r="C82" s="1" t="s">
        <v>97</v>
      </c>
      <c r="D82" s="1" t="s">
        <v>115</v>
      </c>
      <c r="G82" s="1" t="s">
        <v>120</v>
      </c>
      <c r="K82" s="1" t="s">
        <v>24</v>
      </c>
      <c r="N82" s="1">
        <v>22.0</v>
      </c>
      <c r="O82" s="1">
        <v>24.0</v>
      </c>
      <c r="P82" s="1">
        <v>19.0</v>
      </c>
      <c r="Q82" s="1">
        <v>106.61</v>
      </c>
      <c r="R82" s="1">
        <v>0.02</v>
      </c>
      <c r="T82" s="3">
        <v>1.05</v>
      </c>
    </row>
    <row r="83" ht="15.75" customHeight="1">
      <c r="A83" s="1" t="s">
        <v>25</v>
      </c>
      <c r="B83" s="1">
        <v>211.0</v>
      </c>
      <c r="C83" s="1" t="s">
        <v>99</v>
      </c>
      <c r="D83" s="1" t="s">
        <v>115</v>
      </c>
      <c r="G83" s="1" t="s">
        <v>121</v>
      </c>
      <c r="K83" s="1" t="s">
        <v>24</v>
      </c>
      <c r="N83" s="1">
        <v>22.0</v>
      </c>
      <c r="O83" s="1">
        <v>27.0</v>
      </c>
      <c r="P83" s="1">
        <v>20.0</v>
      </c>
      <c r="Q83" s="1">
        <v>128.49</v>
      </c>
      <c r="R83" s="1">
        <v>0.02</v>
      </c>
      <c r="T83" s="3">
        <v>1.05</v>
      </c>
    </row>
    <row r="84" ht="15.75" customHeight="1">
      <c r="A84" s="1" t="s">
        <v>25</v>
      </c>
      <c r="B84" s="1">
        <v>242.0</v>
      </c>
      <c r="C84" s="1" t="s">
        <v>122</v>
      </c>
      <c r="D84" s="1" t="s">
        <v>115</v>
      </c>
      <c r="G84" s="1" t="s">
        <v>123</v>
      </c>
      <c r="K84" s="1" t="s">
        <v>24</v>
      </c>
      <c r="N84" s="1">
        <v>2.0</v>
      </c>
      <c r="O84" s="1">
        <v>2.0</v>
      </c>
      <c r="P84" s="1">
        <v>2.0</v>
      </c>
      <c r="Q84" s="1">
        <v>41.34</v>
      </c>
      <c r="R84" s="1">
        <v>0.01</v>
      </c>
      <c r="T84" s="4">
        <f t="shared" ref="T84:T89" si="3">5.25</f>
        <v>5.25</v>
      </c>
    </row>
    <row r="85" ht="15.75" customHeight="1">
      <c r="A85" s="1" t="s">
        <v>25</v>
      </c>
      <c r="B85" s="1">
        <v>251.0</v>
      </c>
      <c r="C85" s="1" t="s">
        <v>124</v>
      </c>
      <c r="D85" s="1" t="s">
        <v>115</v>
      </c>
      <c r="G85" s="1" t="s">
        <v>125</v>
      </c>
      <c r="K85" s="1" t="s">
        <v>24</v>
      </c>
      <c r="N85" s="1">
        <v>1.0</v>
      </c>
      <c r="O85" s="1">
        <v>1.0</v>
      </c>
      <c r="P85" s="1">
        <v>1.0</v>
      </c>
      <c r="Q85" s="1">
        <v>17.93</v>
      </c>
      <c r="R85" s="1">
        <v>0.0</v>
      </c>
      <c r="T85" s="4">
        <f t="shared" si="3"/>
        <v>5.25</v>
      </c>
    </row>
    <row r="86" ht="15.75" customHeight="1">
      <c r="A86" s="1" t="s">
        <v>25</v>
      </c>
      <c r="B86" s="1">
        <v>174.0</v>
      </c>
      <c r="C86" s="1" t="s">
        <v>122</v>
      </c>
      <c r="D86" s="1" t="s">
        <v>115</v>
      </c>
      <c r="G86" s="1" t="s">
        <v>126</v>
      </c>
      <c r="K86" s="1" t="s">
        <v>24</v>
      </c>
      <c r="N86" s="1">
        <v>12.0</v>
      </c>
      <c r="O86" s="1">
        <v>16.0</v>
      </c>
      <c r="P86" s="1">
        <v>10.0</v>
      </c>
      <c r="Q86" s="1">
        <v>331.94</v>
      </c>
      <c r="R86" s="1">
        <v>0.06</v>
      </c>
      <c r="T86" s="4">
        <f t="shared" si="3"/>
        <v>5.25</v>
      </c>
    </row>
    <row r="87" ht="15.75" customHeight="1">
      <c r="A87" s="1" t="s">
        <v>25</v>
      </c>
      <c r="B87" s="1">
        <v>229.0</v>
      </c>
      <c r="C87" s="1" t="s">
        <v>127</v>
      </c>
      <c r="D87" s="1" t="s">
        <v>115</v>
      </c>
      <c r="G87" s="1" t="s">
        <v>126</v>
      </c>
      <c r="K87" s="1" t="s">
        <v>24</v>
      </c>
      <c r="N87" s="1">
        <v>3.0</v>
      </c>
      <c r="O87" s="1">
        <v>4.0</v>
      </c>
      <c r="P87" s="1">
        <v>3.0</v>
      </c>
      <c r="Q87" s="1">
        <v>86.62</v>
      </c>
      <c r="R87" s="1">
        <v>0.02</v>
      </c>
      <c r="T87" s="4">
        <f t="shared" si="3"/>
        <v>5.25</v>
      </c>
    </row>
    <row r="88" ht="15.75" customHeight="1">
      <c r="A88" s="1" t="s">
        <v>25</v>
      </c>
      <c r="B88" s="1">
        <v>175.0</v>
      </c>
      <c r="C88" s="1" t="s">
        <v>124</v>
      </c>
      <c r="D88" s="1" t="s">
        <v>115</v>
      </c>
      <c r="G88" s="1" t="s">
        <v>128</v>
      </c>
      <c r="K88" s="1" t="s">
        <v>24</v>
      </c>
      <c r="N88" s="1">
        <v>14.0</v>
      </c>
      <c r="O88" s="1">
        <v>15.0</v>
      </c>
      <c r="P88" s="1">
        <v>10.0</v>
      </c>
      <c r="Q88" s="1">
        <v>329.79</v>
      </c>
      <c r="R88" s="1">
        <v>0.06</v>
      </c>
      <c r="T88" s="4">
        <f t="shared" si="3"/>
        <v>5.25</v>
      </c>
    </row>
    <row r="89" ht="15.75" customHeight="1">
      <c r="A89" s="1" t="s">
        <v>25</v>
      </c>
      <c r="B89" s="1">
        <v>243.0</v>
      </c>
      <c r="C89" s="1" t="s">
        <v>129</v>
      </c>
      <c r="D89" s="1" t="s">
        <v>115</v>
      </c>
      <c r="G89" s="1" t="s">
        <v>128</v>
      </c>
      <c r="K89" s="1" t="s">
        <v>24</v>
      </c>
      <c r="N89" s="1">
        <v>2.0</v>
      </c>
      <c r="O89" s="1">
        <v>2.0</v>
      </c>
      <c r="P89" s="1">
        <v>2.0</v>
      </c>
      <c r="Q89" s="1">
        <v>40.82</v>
      </c>
      <c r="R89" s="1">
        <v>0.01</v>
      </c>
      <c r="T89" s="4">
        <f t="shared" si="3"/>
        <v>5.25</v>
      </c>
    </row>
    <row r="90" ht="15.75" customHeight="1">
      <c r="A90" s="1" t="s">
        <v>25</v>
      </c>
      <c r="B90" s="1">
        <v>74.0</v>
      </c>
      <c r="C90" s="1" t="s">
        <v>130</v>
      </c>
      <c r="D90" s="1" t="s">
        <v>131</v>
      </c>
      <c r="G90" s="1" t="s">
        <v>132</v>
      </c>
      <c r="K90" s="1" t="s">
        <v>24</v>
      </c>
      <c r="N90" s="1">
        <v>30.0</v>
      </c>
      <c r="O90" s="1">
        <v>34.0</v>
      </c>
      <c r="P90" s="1">
        <v>27.0</v>
      </c>
      <c r="Q90" s="1">
        <v>1737.8</v>
      </c>
      <c r="R90" s="1">
        <v>0.3</v>
      </c>
      <c r="T90" s="3">
        <v>14.43</v>
      </c>
    </row>
    <row r="91" ht="15.75" customHeight="1">
      <c r="A91" s="1" t="s">
        <v>25</v>
      </c>
      <c r="B91" s="1">
        <v>121.0</v>
      </c>
      <c r="C91" s="1" t="s">
        <v>133</v>
      </c>
      <c r="D91" s="1" t="s">
        <v>131</v>
      </c>
      <c r="G91" s="1" t="s">
        <v>134</v>
      </c>
      <c r="K91" s="1" t="s">
        <v>24</v>
      </c>
      <c r="N91" s="1">
        <v>11.0</v>
      </c>
      <c r="O91" s="1">
        <v>11.0</v>
      </c>
      <c r="P91" s="1">
        <v>7.0</v>
      </c>
      <c r="Q91" s="1">
        <v>762.2</v>
      </c>
      <c r="R91" s="1">
        <v>0.13</v>
      </c>
      <c r="T91" s="4">
        <f t="shared" ref="T91:T92" si="4">14.43*2</f>
        <v>28.86</v>
      </c>
    </row>
    <row r="92" ht="15.75" customHeight="1">
      <c r="A92" s="1" t="s">
        <v>25</v>
      </c>
      <c r="B92" s="1">
        <v>141.0</v>
      </c>
      <c r="C92" s="1" t="s">
        <v>135</v>
      </c>
      <c r="D92" s="1" t="s">
        <v>131</v>
      </c>
      <c r="G92" s="1" t="s">
        <v>134</v>
      </c>
      <c r="K92" s="1" t="s">
        <v>24</v>
      </c>
      <c r="N92" s="1">
        <v>8.0</v>
      </c>
      <c r="O92" s="1">
        <v>8.0</v>
      </c>
      <c r="P92" s="1">
        <v>5.0</v>
      </c>
      <c r="Q92" s="1">
        <v>559.69</v>
      </c>
      <c r="R92" s="1">
        <v>0.1</v>
      </c>
      <c r="T92" s="4">
        <f t="shared" si="4"/>
        <v>28.86</v>
      </c>
    </row>
    <row r="93" ht="15.75" customHeight="1">
      <c r="A93" s="1" t="s">
        <v>20</v>
      </c>
      <c r="B93" s="1">
        <v>38.0</v>
      </c>
      <c r="C93" s="1" t="s">
        <v>130</v>
      </c>
      <c r="D93" s="1" t="s">
        <v>131</v>
      </c>
      <c r="G93" s="1" t="s">
        <v>136</v>
      </c>
      <c r="K93" s="1" t="s">
        <v>24</v>
      </c>
      <c r="N93" s="1">
        <v>76.0</v>
      </c>
      <c r="O93" s="1">
        <v>99.0</v>
      </c>
      <c r="P93" s="1">
        <v>63.0</v>
      </c>
      <c r="Q93" s="1">
        <v>3653.49</v>
      </c>
      <c r="R93" s="1">
        <v>0.64</v>
      </c>
      <c r="T93" s="3">
        <v>14.43</v>
      </c>
    </row>
    <row r="94" ht="15.75" customHeight="1">
      <c r="A94" s="1" t="s">
        <v>20</v>
      </c>
      <c r="B94" s="1">
        <v>30.0</v>
      </c>
      <c r="C94" s="1" t="s">
        <v>130</v>
      </c>
      <c r="D94" s="1" t="s">
        <v>131</v>
      </c>
      <c r="G94" s="1" t="s">
        <v>137</v>
      </c>
      <c r="K94" s="1" t="s">
        <v>24</v>
      </c>
      <c r="N94" s="1">
        <v>122.0</v>
      </c>
      <c r="O94" s="1">
        <v>157.0</v>
      </c>
      <c r="P94" s="1">
        <v>79.0</v>
      </c>
      <c r="Q94" s="1">
        <v>4654.69</v>
      </c>
      <c r="R94" s="1">
        <v>0.81</v>
      </c>
      <c r="T94" s="3">
        <v>14.43</v>
      </c>
    </row>
    <row r="95" ht="15.75" customHeight="1">
      <c r="A95" s="1" t="s">
        <v>32</v>
      </c>
      <c r="B95" s="1">
        <v>20.0</v>
      </c>
      <c r="C95" s="1" t="s">
        <v>138</v>
      </c>
      <c r="D95" s="1" t="s">
        <v>131</v>
      </c>
      <c r="G95" s="1" t="s">
        <v>139</v>
      </c>
      <c r="K95" s="1" t="s">
        <v>24</v>
      </c>
      <c r="N95" s="1">
        <v>132.0</v>
      </c>
      <c r="O95" s="1">
        <v>204.0</v>
      </c>
      <c r="P95" s="1">
        <v>102.0</v>
      </c>
      <c r="Q95" s="1">
        <v>6485.02</v>
      </c>
      <c r="R95" s="1">
        <v>1.13</v>
      </c>
      <c r="T95" s="3">
        <v>14.43</v>
      </c>
    </row>
    <row r="96" ht="15.75" customHeight="1">
      <c r="A96" s="1" t="s">
        <v>25</v>
      </c>
      <c r="B96" s="1">
        <v>85.0</v>
      </c>
      <c r="C96" s="1" t="s">
        <v>130</v>
      </c>
      <c r="D96" s="1" t="s">
        <v>131</v>
      </c>
      <c r="G96" s="1" t="s">
        <v>139</v>
      </c>
      <c r="K96" s="1" t="s">
        <v>24</v>
      </c>
      <c r="N96" s="1">
        <v>20.0</v>
      </c>
      <c r="O96" s="1">
        <v>40.0</v>
      </c>
      <c r="P96" s="1">
        <v>20.0</v>
      </c>
      <c r="Q96" s="1">
        <v>1412.39</v>
      </c>
      <c r="R96" s="1">
        <v>0.25</v>
      </c>
      <c r="T96" s="3">
        <v>14.43</v>
      </c>
    </row>
    <row r="97" ht="15.75" customHeight="1">
      <c r="A97" s="1" t="s">
        <v>32</v>
      </c>
      <c r="B97" s="1">
        <v>19.0</v>
      </c>
      <c r="C97" s="1" t="s">
        <v>130</v>
      </c>
      <c r="D97" s="1" t="s">
        <v>131</v>
      </c>
      <c r="G97" s="1" t="s">
        <v>140</v>
      </c>
      <c r="K97" s="1" t="s">
        <v>24</v>
      </c>
      <c r="N97" s="1">
        <v>143.0</v>
      </c>
      <c r="O97" s="1">
        <v>170.0</v>
      </c>
      <c r="P97" s="1">
        <v>115.0</v>
      </c>
      <c r="Q97" s="1">
        <v>6538.2</v>
      </c>
      <c r="R97" s="1">
        <v>1.14</v>
      </c>
      <c r="T97" s="3">
        <v>14.43</v>
      </c>
    </row>
    <row r="98" ht="15.75" customHeight="1">
      <c r="A98" s="1" t="s">
        <v>25</v>
      </c>
      <c r="B98" s="1">
        <v>110.0</v>
      </c>
      <c r="C98" s="1" t="s">
        <v>138</v>
      </c>
      <c r="D98" s="1" t="s">
        <v>131</v>
      </c>
      <c r="G98" s="1" t="s">
        <v>140</v>
      </c>
      <c r="K98" s="1" t="s">
        <v>24</v>
      </c>
      <c r="N98" s="1">
        <v>14.0</v>
      </c>
      <c r="O98" s="1">
        <v>23.0</v>
      </c>
      <c r="P98" s="1">
        <v>13.0</v>
      </c>
      <c r="Q98" s="1">
        <v>846.13</v>
      </c>
      <c r="R98" s="1">
        <v>0.15</v>
      </c>
      <c r="T98" s="3">
        <v>14.43</v>
      </c>
    </row>
    <row r="99" ht="15.75" customHeight="1">
      <c r="A99" s="1" t="s">
        <v>20</v>
      </c>
      <c r="B99" s="1">
        <v>21.0</v>
      </c>
      <c r="C99" s="1" t="s">
        <v>130</v>
      </c>
      <c r="D99" s="1" t="s">
        <v>131</v>
      </c>
      <c r="G99" s="1" t="s">
        <v>141</v>
      </c>
      <c r="K99" s="1" t="s">
        <v>24</v>
      </c>
      <c r="N99" s="1">
        <v>115.0</v>
      </c>
      <c r="O99" s="1">
        <v>209.0</v>
      </c>
      <c r="P99" s="1">
        <v>75.0</v>
      </c>
      <c r="Q99" s="1">
        <v>6037.54</v>
      </c>
      <c r="R99" s="1">
        <v>1.05</v>
      </c>
      <c r="T99" s="3">
        <v>14.43</v>
      </c>
    </row>
    <row r="100" ht="15.75" customHeight="1">
      <c r="A100" s="1" t="s">
        <v>25</v>
      </c>
      <c r="B100" s="1">
        <v>82.0</v>
      </c>
      <c r="C100" s="1" t="s">
        <v>138</v>
      </c>
      <c r="D100" s="1" t="s">
        <v>131</v>
      </c>
      <c r="G100" s="1" t="s">
        <v>141</v>
      </c>
      <c r="K100" s="1" t="s">
        <v>24</v>
      </c>
      <c r="N100" s="1">
        <v>31.0</v>
      </c>
      <c r="O100" s="1">
        <v>53.0</v>
      </c>
      <c r="P100" s="1">
        <v>20.0</v>
      </c>
      <c r="Q100" s="1">
        <v>1490.97</v>
      </c>
      <c r="R100" s="1">
        <v>0.26</v>
      </c>
      <c r="T100" s="3">
        <v>14.43</v>
      </c>
    </row>
    <row r="101" ht="15.75" customHeight="1">
      <c r="A101" s="1" t="s">
        <v>25</v>
      </c>
      <c r="B101" s="1">
        <v>134.0</v>
      </c>
      <c r="C101" s="1" t="s">
        <v>142</v>
      </c>
      <c r="D101" s="1" t="s">
        <v>131</v>
      </c>
      <c r="G101" s="1" t="s">
        <v>143</v>
      </c>
      <c r="K101" s="1" t="s">
        <v>24</v>
      </c>
      <c r="N101" s="1">
        <v>5.0</v>
      </c>
      <c r="O101" s="1">
        <v>5.0</v>
      </c>
      <c r="P101" s="1">
        <v>4.0</v>
      </c>
      <c r="Q101" s="1">
        <v>624.11</v>
      </c>
      <c r="R101" s="1">
        <v>0.11</v>
      </c>
      <c r="T101" s="4">
        <f t="shared" ref="T101:T102" si="5">14.43*4</f>
        <v>57.72</v>
      </c>
    </row>
    <row r="102" ht="15.75" customHeight="1">
      <c r="A102" s="1" t="s">
        <v>25</v>
      </c>
      <c r="B102" s="1">
        <v>163.0</v>
      </c>
      <c r="C102" s="1" t="s">
        <v>144</v>
      </c>
      <c r="D102" s="1" t="s">
        <v>131</v>
      </c>
      <c r="G102" s="1" t="s">
        <v>143</v>
      </c>
      <c r="K102" s="1" t="s">
        <v>24</v>
      </c>
      <c r="N102" s="1">
        <v>3.0</v>
      </c>
      <c r="O102" s="1">
        <v>3.0</v>
      </c>
      <c r="P102" s="1">
        <v>3.0</v>
      </c>
      <c r="Q102" s="1">
        <v>376.78</v>
      </c>
      <c r="R102" s="1">
        <v>0.07</v>
      </c>
      <c r="T102" s="4">
        <f t="shared" si="5"/>
        <v>57.72</v>
      </c>
    </row>
    <row r="103" ht="15.75" customHeight="1">
      <c r="A103" s="1" t="s">
        <v>25</v>
      </c>
      <c r="B103" s="1">
        <v>254.0</v>
      </c>
      <c r="C103" s="1" t="s">
        <v>145</v>
      </c>
      <c r="D103" s="1" t="s">
        <v>146</v>
      </c>
      <c r="G103" s="1" t="s">
        <v>147</v>
      </c>
      <c r="K103" s="1" t="s">
        <v>24</v>
      </c>
      <c r="N103" s="1">
        <v>2.0</v>
      </c>
      <c r="O103" s="1">
        <v>3.0</v>
      </c>
      <c r="P103" s="1">
        <v>2.0</v>
      </c>
      <c r="Q103" s="1">
        <v>10.54</v>
      </c>
      <c r="R103" s="1">
        <v>0.0</v>
      </c>
      <c r="T103" s="3">
        <v>0.55</v>
      </c>
    </row>
    <row r="104" ht="15.75" customHeight="1">
      <c r="A104" s="1" t="s">
        <v>25</v>
      </c>
      <c r="B104" s="1">
        <v>248.0</v>
      </c>
      <c r="C104" s="1" t="s">
        <v>148</v>
      </c>
      <c r="D104" s="1" t="s">
        <v>146</v>
      </c>
      <c r="G104" s="1" t="s">
        <v>149</v>
      </c>
      <c r="K104" s="1" t="s">
        <v>24</v>
      </c>
      <c r="N104" s="1">
        <v>2.0</v>
      </c>
      <c r="O104" s="1">
        <v>2.0</v>
      </c>
      <c r="P104" s="1">
        <v>2.0</v>
      </c>
      <c r="Q104" s="1">
        <v>30.01</v>
      </c>
      <c r="R104" s="1">
        <v>0.01</v>
      </c>
      <c r="T104" s="4">
        <f>0.55*5</f>
        <v>2.75</v>
      </c>
    </row>
    <row r="105" ht="15.75" customHeight="1">
      <c r="A105" s="1" t="s">
        <v>25</v>
      </c>
      <c r="B105" s="1">
        <v>252.0</v>
      </c>
      <c r="C105" s="1" t="s">
        <v>150</v>
      </c>
      <c r="D105" s="1" t="s">
        <v>151</v>
      </c>
      <c r="G105" s="1" t="s">
        <v>152</v>
      </c>
      <c r="K105" s="1" t="s">
        <v>24</v>
      </c>
      <c r="N105" s="1">
        <v>2.0</v>
      </c>
      <c r="O105" s="1">
        <v>3.0</v>
      </c>
      <c r="P105" s="1">
        <v>1.0</v>
      </c>
      <c r="Q105" s="1">
        <v>17.7</v>
      </c>
      <c r="R105" s="1">
        <v>0.0</v>
      </c>
      <c r="T105" s="3">
        <v>0.21</v>
      </c>
    </row>
    <row r="106" ht="15.75" customHeight="1">
      <c r="A106" s="1" t="s">
        <v>25</v>
      </c>
      <c r="B106" s="1">
        <v>253.0</v>
      </c>
      <c r="C106" s="1" t="s">
        <v>150</v>
      </c>
      <c r="D106" s="1" t="s">
        <v>151</v>
      </c>
      <c r="G106" s="1" t="s">
        <v>153</v>
      </c>
      <c r="K106" s="1" t="s">
        <v>24</v>
      </c>
      <c r="N106" s="1">
        <v>2.0</v>
      </c>
      <c r="O106" s="1">
        <v>10.0</v>
      </c>
      <c r="P106" s="1">
        <v>2.0</v>
      </c>
      <c r="Q106" s="1">
        <v>16.92</v>
      </c>
      <c r="R106" s="1">
        <v>0.0</v>
      </c>
      <c r="T106" s="3">
        <v>0.21</v>
      </c>
    </row>
    <row r="107" ht="15.75" customHeight="1">
      <c r="A107" s="1" t="s">
        <v>25</v>
      </c>
      <c r="B107" s="1">
        <v>246.0</v>
      </c>
      <c r="C107" s="1" t="s">
        <v>154</v>
      </c>
      <c r="D107" s="1" t="s">
        <v>151</v>
      </c>
      <c r="G107" s="1" t="s">
        <v>155</v>
      </c>
      <c r="K107" s="1" t="s">
        <v>24</v>
      </c>
      <c r="N107" s="1">
        <v>1.0</v>
      </c>
      <c r="O107" s="1">
        <v>1.0</v>
      </c>
      <c r="P107" s="1">
        <v>1.0</v>
      </c>
      <c r="Q107" s="1">
        <v>39.9</v>
      </c>
      <c r="R107" s="1">
        <v>0.01</v>
      </c>
      <c r="T107" s="3">
        <v>2.1</v>
      </c>
    </row>
    <row r="108" ht="15.75" customHeight="1">
      <c r="A108" s="1" t="s">
        <v>25</v>
      </c>
      <c r="B108" s="1">
        <v>152.0</v>
      </c>
      <c r="C108" s="1" t="s">
        <v>156</v>
      </c>
      <c r="D108" s="1" t="s">
        <v>157</v>
      </c>
      <c r="G108" s="1" t="s">
        <v>158</v>
      </c>
      <c r="K108" s="1" t="s">
        <v>24</v>
      </c>
      <c r="N108" s="1">
        <v>19.0</v>
      </c>
      <c r="O108" s="1">
        <v>19.0</v>
      </c>
      <c r="P108" s="1">
        <v>19.0</v>
      </c>
      <c r="Q108" s="1">
        <v>446.94</v>
      </c>
      <c r="R108" s="1">
        <v>0.08</v>
      </c>
      <c r="T108" s="3">
        <v>3.97</v>
      </c>
    </row>
    <row r="109" ht="15.75" customHeight="1">
      <c r="A109" s="1" t="s">
        <v>25</v>
      </c>
      <c r="B109" s="1">
        <v>130.0</v>
      </c>
      <c r="C109" s="1" t="s">
        <v>159</v>
      </c>
      <c r="D109" s="1" t="s">
        <v>160</v>
      </c>
      <c r="G109" s="1" t="s">
        <v>161</v>
      </c>
      <c r="K109" s="1" t="s">
        <v>24</v>
      </c>
      <c r="N109" s="1">
        <v>28.0</v>
      </c>
      <c r="O109" s="1">
        <v>28.0</v>
      </c>
      <c r="P109" s="1">
        <v>27.0</v>
      </c>
      <c r="Q109" s="1">
        <v>657.27</v>
      </c>
      <c r="R109" s="1">
        <v>0.11</v>
      </c>
      <c r="T109" s="3">
        <v>6.19</v>
      </c>
    </row>
    <row r="110" ht="15.75" customHeight="1">
      <c r="A110" s="1" t="s">
        <v>25</v>
      </c>
      <c r="B110" s="1">
        <v>196.0</v>
      </c>
      <c r="C110" s="1" t="s">
        <v>162</v>
      </c>
      <c r="D110" s="1" t="s">
        <v>160</v>
      </c>
      <c r="G110" s="1" t="s">
        <v>161</v>
      </c>
      <c r="K110" s="1" t="s">
        <v>24</v>
      </c>
      <c r="N110" s="1">
        <v>7.0</v>
      </c>
      <c r="O110" s="1">
        <v>9.0</v>
      </c>
      <c r="P110" s="1">
        <v>6.0</v>
      </c>
      <c r="Q110" s="1">
        <v>187.44</v>
      </c>
      <c r="R110" s="1">
        <v>0.03</v>
      </c>
      <c r="T110" s="3">
        <v>6.19</v>
      </c>
    </row>
    <row r="111" ht="15.75" customHeight="1">
      <c r="A111" s="1" t="s">
        <v>25</v>
      </c>
      <c r="B111" s="1">
        <v>128.0</v>
      </c>
      <c r="C111" s="1" t="s">
        <v>159</v>
      </c>
      <c r="D111" s="1" t="s">
        <v>160</v>
      </c>
      <c r="G111" s="1" t="s">
        <v>163</v>
      </c>
      <c r="K111" s="1" t="s">
        <v>24</v>
      </c>
      <c r="N111" s="1">
        <v>27.0</v>
      </c>
      <c r="O111" s="1">
        <v>29.0</v>
      </c>
      <c r="P111" s="1">
        <v>25.0</v>
      </c>
      <c r="Q111" s="1">
        <v>668.08</v>
      </c>
      <c r="R111" s="1">
        <v>0.12</v>
      </c>
      <c r="T111" s="3">
        <v>6.19</v>
      </c>
    </row>
    <row r="112" ht="15.75" customHeight="1">
      <c r="A112" s="1" t="s">
        <v>25</v>
      </c>
      <c r="B112" s="1">
        <v>212.0</v>
      </c>
      <c r="C112" s="1" t="s">
        <v>162</v>
      </c>
      <c r="D112" s="1" t="s">
        <v>160</v>
      </c>
      <c r="G112" s="1" t="s">
        <v>163</v>
      </c>
      <c r="K112" s="1" t="s">
        <v>24</v>
      </c>
      <c r="N112" s="1">
        <v>6.0</v>
      </c>
      <c r="O112" s="1">
        <v>6.0</v>
      </c>
      <c r="P112" s="1">
        <v>5.0</v>
      </c>
      <c r="Q112" s="1">
        <v>128.16</v>
      </c>
      <c r="R112" s="1">
        <v>0.02</v>
      </c>
      <c r="T112" s="3">
        <v>6.19</v>
      </c>
    </row>
    <row r="113" ht="15.75" customHeight="1">
      <c r="A113" s="1" t="s">
        <v>20</v>
      </c>
      <c r="B113" s="1">
        <v>28.0</v>
      </c>
      <c r="C113" s="1" t="s">
        <v>164</v>
      </c>
      <c r="D113" s="1" t="s">
        <v>165</v>
      </c>
      <c r="G113" s="1" t="s">
        <v>166</v>
      </c>
      <c r="K113" s="1" t="s">
        <v>24</v>
      </c>
      <c r="N113" s="1">
        <v>82.0</v>
      </c>
      <c r="O113" s="1">
        <v>84.0</v>
      </c>
      <c r="P113" s="1">
        <v>70.0</v>
      </c>
      <c r="Q113" s="1">
        <v>4978.6</v>
      </c>
      <c r="R113" s="1">
        <v>0.87</v>
      </c>
      <c r="T113" s="3">
        <v>18.81</v>
      </c>
    </row>
    <row r="114" ht="15.75" customHeight="1">
      <c r="A114" s="1" t="s">
        <v>32</v>
      </c>
      <c r="B114" s="1">
        <v>13.0</v>
      </c>
      <c r="C114" s="1" t="s">
        <v>167</v>
      </c>
      <c r="D114" s="1" t="s">
        <v>165</v>
      </c>
      <c r="G114" s="1" t="s">
        <v>168</v>
      </c>
      <c r="K114" s="1" t="s">
        <v>24</v>
      </c>
      <c r="N114" s="1">
        <v>122.0</v>
      </c>
      <c r="O114" s="1">
        <v>127.0</v>
      </c>
      <c r="P114" s="1">
        <v>100.0</v>
      </c>
      <c r="Q114" s="1">
        <v>8327.43</v>
      </c>
      <c r="R114" s="1">
        <v>1.45</v>
      </c>
      <c r="T114" s="3">
        <v>19.44</v>
      </c>
    </row>
    <row r="115" ht="15.75" customHeight="1">
      <c r="A115" s="1" t="s">
        <v>20</v>
      </c>
      <c r="B115" s="1">
        <v>39.0</v>
      </c>
      <c r="C115" s="1" t="s">
        <v>169</v>
      </c>
      <c r="D115" s="1" t="s">
        <v>165</v>
      </c>
      <c r="G115" s="1" t="s">
        <v>170</v>
      </c>
      <c r="K115" s="1" t="s">
        <v>24</v>
      </c>
      <c r="N115" s="1">
        <v>71.0</v>
      </c>
      <c r="O115" s="1">
        <v>75.0</v>
      </c>
      <c r="P115" s="1">
        <v>68.0</v>
      </c>
      <c r="Q115" s="1">
        <v>3539.72</v>
      </c>
      <c r="R115" s="1">
        <v>0.62</v>
      </c>
      <c r="T115" s="3">
        <v>18.81</v>
      </c>
    </row>
    <row r="116" ht="15.75" customHeight="1">
      <c r="A116" s="1" t="s">
        <v>25</v>
      </c>
      <c r="B116" s="1">
        <v>202.0</v>
      </c>
      <c r="C116" s="1" t="s">
        <v>164</v>
      </c>
      <c r="D116" s="1" t="s">
        <v>165</v>
      </c>
      <c r="G116" s="1" t="s">
        <v>170</v>
      </c>
      <c r="K116" s="1" t="s">
        <v>24</v>
      </c>
      <c r="N116" s="1">
        <v>3.0</v>
      </c>
      <c r="O116" s="1">
        <v>3.0</v>
      </c>
      <c r="P116" s="1">
        <v>3.0</v>
      </c>
      <c r="Q116" s="1">
        <v>161.35</v>
      </c>
      <c r="R116" s="1">
        <v>0.03</v>
      </c>
      <c r="T116" s="3">
        <v>18.81</v>
      </c>
    </row>
    <row r="117" ht="15.75" customHeight="1">
      <c r="A117" s="1" t="s">
        <v>20</v>
      </c>
      <c r="B117" s="1">
        <v>25.0</v>
      </c>
      <c r="C117" s="1" t="s">
        <v>167</v>
      </c>
      <c r="D117" s="1" t="s">
        <v>165</v>
      </c>
      <c r="G117" s="1" t="s">
        <v>171</v>
      </c>
      <c r="K117" s="1" t="s">
        <v>24</v>
      </c>
      <c r="N117" s="1">
        <v>108.0</v>
      </c>
      <c r="O117" s="1">
        <v>113.0</v>
      </c>
      <c r="P117" s="1">
        <v>96.0</v>
      </c>
      <c r="Q117" s="1">
        <v>5578.07</v>
      </c>
      <c r="R117" s="1">
        <v>0.97</v>
      </c>
      <c r="T117" s="3">
        <v>19.44</v>
      </c>
    </row>
    <row r="118" ht="15.75" customHeight="1">
      <c r="A118" s="1" t="s">
        <v>25</v>
      </c>
      <c r="B118" s="1">
        <v>50.0</v>
      </c>
      <c r="C118" s="1" t="s">
        <v>164</v>
      </c>
      <c r="D118" s="1" t="s">
        <v>165</v>
      </c>
      <c r="G118" s="1" t="s">
        <v>172</v>
      </c>
      <c r="K118" s="1" t="s">
        <v>24</v>
      </c>
      <c r="N118" s="1">
        <v>43.0</v>
      </c>
      <c r="O118" s="1">
        <v>46.0</v>
      </c>
      <c r="P118" s="1">
        <v>38.0</v>
      </c>
      <c r="Q118" s="1">
        <v>2552.99</v>
      </c>
      <c r="R118" s="1">
        <v>0.44</v>
      </c>
      <c r="T118" s="3">
        <v>18.81</v>
      </c>
    </row>
    <row r="119" ht="15.75" customHeight="1">
      <c r="A119" s="1" t="s">
        <v>25</v>
      </c>
      <c r="B119" s="1">
        <v>69.0</v>
      </c>
      <c r="C119" s="1" t="s">
        <v>169</v>
      </c>
      <c r="D119" s="1" t="s">
        <v>165</v>
      </c>
      <c r="G119" s="1" t="s">
        <v>172</v>
      </c>
      <c r="K119" s="1" t="s">
        <v>24</v>
      </c>
      <c r="N119" s="1">
        <v>33.0</v>
      </c>
      <c r="O119" s="1">
        <v>35.0</v>
      </c>
      <c r="P119" s="1">
        <v>30.0</v>
      </c>
      <c r="Q119" s="1">
        <v>1985.27</v>
      </c>
      <c r="R119" s="1">
        <v>0.35</v>
      </c>
      <c r="T119" s="3">
        <v>18.81</v>
      </c>
    </row>
    <row r="120" ht="15.75" customHeight="1">
      <c r="A120" s="1" t="s">
        <v>32</v>
      </c>
      <c r="B120" s="1">
        <v>7.0</v>
      </c>
      <c r="C120" s="1" t="s">
        <v>167</v>
      </c>
      <c r="D120" s="1" t="s">
        <v>165</v>
      </c>
      <c r="G120" s="1" t="s">
        <v>173</v>
      </c>
      <c r="K120" s="1" t="s">
        <v>24</v>
      </c>
      <c r="N120" s="1">
        <v>304.0</v>
      </c>
      <c r="O120" s="1">
        <v>361.0</v>
      </c>
      <c r="P120" s="1">
        <v>255.0</v>
      </c>
      <c r="Q120" s="1">
        <v>19307.73</v>
      </c>
      <c r="R120" s="1">
        <v>3.36</v>
      </c>
      <c r="T120" s="3">
        <v>19.44</v>
      </c>
    </row>
    <row r="121" ht="15.75" customHeight="1">
      <c r="A121" s="1" t="s">
        <v>25</v>
      </c>
      <c r="B121" s="1">
        <v>113.0</v>
      </c>
      <c r="C121" s="1" t="s">
        <v>169</v>
      </c>
      <c r="D121" s="1" t="s">
        <v>165</v>
      </c>
      <c r="G121" s="1" t="s">
        <v>174</v>
      </c>
      <c r="K121" s="1" t="s">
        <v>24</v>
      </c>
      <c r="N121" s="1">
        <v>13.0</v>
      </c>
      <c r="O121" s="1">
        <v>15.0</v>
      </c>
      <c r="P121" s="1">
        <v>13.0</v>
      </c>
      <c r="Q121" s="1">
        <v>827.98</v>
      </c>
      <c r="R121" s="1">
        <v>0.14</v>
      </c>
      <c r="T121" s="3">
        <v>18.81</v>
      </c>
    </row>
    <row r="122" ht="15.75" customHeight="1">
      <c r="A122" s="1" t="s">
        <v>25</v>
      </c>
      <c r="B122" s="1">
        <v>218.0</v>
      </c>
      <c r="C122" s="1" t="s">
        <v>164</v>
      </c>
      <c r="D122" s="1" t="s">
        <v>165</v>
      </c>
      <c r="G122" s="1" t="s">
        <v>174</v>
      </c>
      <c r="K122" s="1" t="s">
        <v>24</v>
      </c>
      <c r="N122" s="1">
        <v>2.0</v>
      </c>
      <c r="O122" s="1">
        <v>2.0</v>
      </c>
      <c r="P122" s="1">
        <v>2.0</v>
      </c>
      <c r="Q122" s="1">
        <v>113.81</v>
      </c>
      <c r="R122" s="1">
        <v>0.02</v>
      </c>
      <c r="T122" s="3">
        <v>18.81</v>
      </c>
    </row>
    <row r="123" ht="15.75" customHeight="1">
      <c r="A123" s="1" t="s">
        <v>25</v>
      </c>
      <c r="B123" s="1">
        <v>63.0</v>
      </c>
      <c r="C123" s="1" t="s">
        <v>167</v>
      </c>
      <c r="D123" s="1" t="s">
        <v>165</v>
      </c>
      <c r="G123" s="1" t="s">
        <v>175</v>
      </c>
      <c r="K123" s="1" t="s">
        <v>24</v>
      </c>
      <c r="N123" s="1">
        <v>33.0</v>
      </c>
      <c r="O123" s="1">
        <v>38.0</v>
      </c>
      <c r="P123" s="1">
        <v>31.0</v>
      </c>
      <c r="Q123" s="1">
        <v>2150.9</v>
      </c>
      <c r="R123" s="1">
        <v>0.37</v>
      </c>
      <c r="T123" s="3">
        <v>19.44</v>
      </c>
    </row>
    <row r="124" ht="15.75" customHeight="1">
      <c r="A124" s="1" t="s">
        <v>20</v>
      </c>
      <c r="B124" s="1">
        <v>42.0</v>
      </c>
      <c r="C124" s="1" t="s">
        <v>176</v>
      </c>
      <c r="D124" s="1" t="s">
        <v>165</v>
      </c>
      <c r="G124" s="1" t="s">
        <v>177</v>
      </c>
      <c r="K124" s="1" t="s">
        <v>24</v>
      </c>
      <c r="N124" s="1">
        <v>28.0</v>
      </c>
      <c r="O124" s="1">
        <v>28.0</v>
      </c>
      <c r="P124" s="1">
        <v>25.0</v>
      </c>
      <c r="Q124" s="1">
        <v>2972.42</v>
      </c>
      <c r="R124" s="1">
        <v>0.52</v>
      </c>
      <c r="T124" s="4">
        <f t="shared" ref="T124:T125" si="6">18.81*2</f>
        <v>37.62</v>
      </c>
    </row>
    <row r="125" ht="15.75" customHeight="1">
      <c r="A125" s="1" t="s">
        <v>25</v>
      </c>
      <c r="B125" s="1">
        <v>99.0</v>
      </c>
      <c r="C125" s="1" t="s">
        <v>178</v>
      </c>
      <c r="D125" s="1" t="s">
        <v>165</v>
      </c>
      <c r="G125" s="1" t="s">
        <v>177</v>
      </c>
      <c r="K125" s="1" t="s">
        <v>24</v>
      </c>
      <c r="N125" s="1">
        <v>12.0</v>
      </c>
      <c r="O125" s="1">
        <v>12.0</v>
      </c>
      <c r="P125" s="1">
        <v>11.0</v>
      </c>
      <c r="Q125" s="1">
        <v>1192.94</v>
      </c>
      <c r="R125" s="1">
        <v>0.21</v>
      </c>
      <c r="T125" s="4">
        <f t="shared" si="6"/>
        <v>37.62</v>
      </c>
    </row>
    <row r="126" ht="15.75" customHeight="1">
      <c r="A126" s="1" t="s">
        <v>25</v>
      </c>
      <c r="B126" s="1">
        <v>46.0</v>
      </c>
      <c r="C126" s="1" t="s">
        <v>179</v>
      </c>
      <c r="D126" s="1" t="s">
        <v>165</v>
      </c>
      <c r="G126" s="1" t="s">
        <v>180</v>
      </c>
      <c r="K126" s="1" t="s">
        <v>24</v>
      </c>
      <c r="N126" s="1">
        <v>25.0</v>
      </c>
      <c r="O126" s="1">
        <v>25.0</v>
      </c>
      <c r="P126" s="1">
        <v>20.0</v>
      </c>
      <c r="Q126" s="1">
        <v>2749.66</v>
      </c>
      <c r="R126" s="1">
        <v>0.48</v>
      </c>
      <c r="T126" s="4">
        <f t="shared" ref="T126:T127" si="7">19.44*2</f>
        <v>38.88</v>
      </c>
    </row>
    <row r="127" ht="15.75" customHeight="1">
      <c r="A127" s="1" t="s">
        <v>25</v>
      </c>
      <c r="B127" s="1">
        <v>97.0</v>
      </c>
      <c r="C127" s="1" t="s">
        <v>181</v>
      </c>
      <c r="D127" s="1" t="s">
        <v>165</v>
      </c>
      <c r="G127" s="1" t="s">
        <v>180</v>
      </c>
      <c r="K127" s="1" t="s">
        <v>24</v>
      </c>
      <c r="N127" s="1">
        <v>11.0</v>
      </c>
      <c r="O127" s="1">
        <v>11.0</v>
      </c>
      <c r="P127" s="1">
        <v>10.0</v>
      </c>
      <c r="Q127" s="1">
        <v>1205.52</v>
      </c>
      <c r="R127" s="1">
        <v>0.21</v>
      </c>
      <c r="T127" s="4">
        <f t="shared" si="7"/>
        <v>38.88</v>
      </c>
    </row>
    <row r="128" ht="15.75" customHeight="1">
      <c r="A128" s="1" t="s">
        <v>25</v>
      </c>
      <c r="B128" s="1">
        <v>143.0</v>
      </c>
      <c r="C128" s="1" t="s">
        <v>178</v>
      </c>
      <c r="D128" s="1" t="s">
        <v>165</v>
      </c>
      <c r="G128" s="1" t="s">
        <v>182</v>
      </c>
      <c r="K128" s="1" t="s">
        <v>24</v>
      </c>
      <c r="N128" s="1">
        <v>5.0</v>
      </c>
      <c r="O128" s="1">
        <v>5.0</v>
      </c>
      <c r="P128" s="1">
        <v>5.0</v>
      </c>
      <c r="Q128" s="1">
        <v>527.61</v>
      </c>
      <c r="R128" s="1">
        <v>0.09</v>
      </c>
      <c r="T128" s="4">
        <f>18.81*2</f>
        <v>37.62</v>
      </c>
    </row>
    <row r="129" ht="15.75" customHeight="1">
      <c r="A129" s="1" t="s">
        <v>25</v>
      </c>
      <c r="B129" s="1">
        <v>92.0</v>
      </c>
      <c r="C129" s="1" t="s">
        <v>183</v>
      </c>
      <c r="D129" s="1" t="s">
        <v>165</v>
      </c>
      <c r="G129" s="1" t="s">
        <v>184</v>
      </c>
      <c r="K129" s="1" t="s">
        <v>24</v>
      </c>
      <c r="N129" s="1">
        <v>5.0</v>
      </c>
      <c r="O129" s="1">
        <v>6.0</v>
      </c>
      <c r="P129" s="1">
        <v>3.0</v>
      </c>
      <c r="Q129" s="1">
        <v>1255.88</v>
      </c>
      <c r="R129" s="1">
        <v>0.22</v>
      </c>
      <c r="T129" s="4">
        <f>T124*2</f>
        <v>75.24</v>
      </c>
    </row>
    <row r="130" ht="15.75" customHeight="1">
      <c r="A130" s="1" t="s">
        <v>25</v>
      </c>
      <c r="B130" s="1">
        <v>93.0</v>
      </c>
      <c r="C130" s="1" t="s">
        <v>185</v>
      </c>
      <c r="D130" s="1" t="s">
        <v>165</v>
      </c>
      <c r="G130" s="1" t="s">
        <v>184</v>
      </c>
      <c r="K130" s="1" t="s">
        <v>24</v>
      </c>
      <c r="N130" s="1">
        <v>6.0</v>
      </c>
      <c r="O130" s="1">
        <v>6.0</v>
      </c>
      <c r="P130" s="1">
        <v>5.0</v>
      </c>
      <c r="Q130" s="1">
        <v>1251.31</v>
      </c>
      <c r="R130" s="1">
        <v>0.22</v>
      </c>
      <c r="T130" s="4">
        <f t="shared" ref="T130:T132" si="8">T126*2</f>
        <v>77.76</v>
      </c>
    </row>
    <row r="131" ht="15.75" customHeight="1">
      <c r="A131" s="1" t="s">
        <v>25</v>
      </c>
      <c r="B131" s="1">
        <v>72.0</v>
      </c>
      <c r="C131" s="1" t="s">
        <v>186</v>
      </c>
      <c r="D131" s="1" t="s">
        <v>165</v>
      </c>
      <c r="G131" s="1" t="s">
        <v>187</v>
      </c>
      <c r="K131" s="1" t="s">
        <v>24</v>
      </c>
      <c r="N131" s="1">
        <v>9.0</v>
      </c>
      <c r="O131" s="1">
        <v>9.0</v>
      </c>
      <c r="P131" s="1">
        <v>8.0</v>
      </c>
      <c r="Q131" s="1">
        <v>1890.72</v>
      </c>
      <c r="R131" s="1">
        <v>0.33</v>
      </c>
      <c r="T131" s="4">
        <f t="shared" si="8"/>
        <v>77.76</v>
      </c>
    </row>
    <row r="132" ht="15.75" customHeight="1">
      <c r="A132" s="1" t="s">
        <v>25</v>
      </c>
      <c r="B132" s="1">
        <v>193.0</v>
      </c>
      <c r="C132" s="1" t="s">
        <v>188</v>
      </c>
      <c r="D132" s="1" t="s">
        <v>165</v>
      </c>
      <c r="G132" s="1" t="s">
        <v>187</v>
      </c>
      <c r="K132" s="1" t="s">
        <v>24</v>
      </c>
      <c r="N132" s="1">
        <v>1.0</v>
      </c>
      <c r="O132" s="1">
        <v>1.0</v>
      </c>
      <c r="P132" s="1">
        <v>1.0</v>
      </c>
      <c r="Q132" s="1">
        <v>193.5</v>
      </c>
      <c r="R132" s="1">
        <v>0.03</v>
      </c>
      <c r="T132" s="4">
        <f t="shared" si="8"/>
        <v>75.24</v>
      </c>
    </row>
    <row r="133" ht="15.75" customHeight="1">
      <c r="A133" s="1" t="s">
        <v>25</v>
      </c>
      <c r="B133" s="1">
        <v>154.0</v>
      </c>
      <c r="C133" s="1" t="s">
        <v>189</v>
      </c>
      <c r="D133" s="1" t="s">
        <v>165</v>
      </c>
      <c r="G133" s="1" t="s">
        <v>190</v>
      </c>
      <c r="K133" s="1" t="s">
        <v>24</v>
      </c>
      <c r="N133" s="1">
        <v>126.0</v>
      </c>
      <c r="O133" s="1">
        <v>160.0</v>
      </c>
      <c r="P133" s="1">
        <v>124.0</v>
      </c>
      <c r="Q133" s="1">
        <v>442.82</v>
      </c>
      <c r="R133" s="1">
        <v>0.08</v>
      </c>
      <c r="T133" s="3">
        <v>0.83</v>
      </c>
    </row>
    <row r="134" ht="15.75" customHeight="1">
      <c r="A134" s="1" t="s">
        <v>25</v>
      </c>
      <c r="B134" s="1">
        <v>145.0</v>
      </c>
      <c r="C134" s="1" t="s">
        <v>191</v>
      </c>
      <c r="D134" s="1" t="s">
        <v>165</v>
      </c>
      <c r="G134" s="1" t="s">
        <v>192</v>
      </c>
      <c r="K134" s="1" t="s">
        <v>24</v>
      </c>
      <c r="N134" s="1">
        <v>133.0</v>
      </c>
      <c r="O134" s="1">
        <v>178.0</v>
      </c>
      <c r="P134" s="1">
        <v>129.0</v>
      </c>
      <c r="Q134" s="1">
        <v>514.12</v>
      </c>
      <c r="R134" s="1">
        <v>0.09</v>
      </c>
      <c r="T134" s="3">
        <v>0.83</v>
      </c>
    </row>
    <row r="135" ht="15.75" customHeight="1">
      <c r="A135" s="1" t="s">
        <v>25</v>
      </c>
      <c r="B135" s="1">
        <v>255.0</v>
      </c>
      <c r="C135" s="1" t="s">
        <v>189</v>
      </c>
      <c r="D135" s="1" t="s">
        <v>165</v>
      </c>
      <c r="G135" s="1" t="s">
        <v>193</v>
      </c>
      <c r="K135" s="1" t="s">
        <v>24</v>
      </c>
      <c r="N135" s="1">
        <v>1.0</v>
      </c>
      <c r="O135" s="1">
        <v>1.0</v>
      </c>
      <c r="P135" s="1">
        <v>1.0</v>
      </c>
      <c r="Q135" s="1">
        <v>2.98</v>
      </c>
      <c r="R135" s="1">
        <v>0.0</v>
      </c>
      <c r="T135" s="3">
        <v>0.83</v>
      </c>
    </row>
    <row r="136" ht="15.75" customHeight="1">
      <c r="A136" s="1" t="s">
        <v>25</v>
      </c>
      <c r="B136" s="1">
        <v>195.0</v>
      </c>
      <c r="C136" s="1" t="s">
        <v>189</v>
      </c>
      <c r="D136" s="1" t="s">
        <v>165</v>
      </c>
      <c r="G136" s="1" t="s">
        <v>194</v>
      </c>
      <c r="K136" s="1" t="s">
        <v>24</v>
      </c>
      <c r="N136" s="1">
        <v>31.0</v>
      </c>
      <c r="O136" s="1">
        <v>49.0</v>
      </c>
      <c r="P136" s="1">
        <v>30.0</v>
      </c>
      <c r="Q136" s="1">
        <v>191.14</v>
      </c>
      <c r="R136" s="1">
        <v>0.03</v>
      </c>
      <c r="T136" s="3">
        <v>0.83</v>
      </c>
    </row>
    <row r="137" ht="15.75" customHeight="1">
      <c r="A137" s="1" t="s">
        <v>25</v>
      </c>
      <c r="B137" s="1">
        <v>179.0</v>
      </c>
      <c r="C137" s="1" t="s">
        <v>191</v>
      </c>
      <c r="D137" s="1" t="s">
        <v>165</v>
      </c>
      <c r="G137" s="1" t="s">
        <v>195</v>
      </c>
      <c r="K137" s="1" t="s">
        <v>24</v>
      </c>
      <c r="N137" s="1">
        <v>49.0</v>
      </c>
      <c r="O137" s="1">
        <v>72.0</v>
      </c>
      <c r="P137" s="1">
        <v>47.0</v>
      </c>
      <c r="Q137" s="1">
        <v>298.97</v>
      </c>
      <c r="R137" s="1">
        <v>0.05</v>
      </c>
      <c r="T137" s="3">
        <v>0.83</v>
      </c>
    </row>
    <row r="138" ht="15.75" customHeight="1">
      <c r="A138" s="1" t="s">
        <v>20</v>
      </c>
      <c r="B138" s="1">
        <v>33.0</v>
      </c>
      <c r="C138" s="1" t="s">
        <v>196</v>
      </c>
      <c r="D138" s="1" t="s">
        <v>197</v>
      </c>
      <c r="G138" s="1" t="s">
        <v>198</v>
      </c>
      <c r="K138" s="1" t="s">
        <v>24</v>
      </c>
      <c r="N138" s="1">
        <v>479.0</v>
      </c>
      <c r="O138" s="1">
        <v>489.0</v>
      </c>
      <c r="P138" s="1">
        <v>451.0</v>
      </c>
      <c r="Q138" s="1">
        <v>4226.2</v>
      </c>
      <c r="R138" s="1">
        <v>0.74</v>
      </c>
      <c r="T138" s="5">
        <v>1.58</v>
      </c>
    </row>
    <row r="139" ht="15.75" customHeight="1">
      <c r="A139" s="1" t="s">
        <v>25</v>
      </c>
      <c r="B139" s="1">
        <v>157.0</v>
      </c>
      <c r="C139" s="1" t="s">
        <v>189</v>
      </c>
      <c r="D139" s="1" t="s">
        <v>199</v>
      </c>
      <c r="G139" s="1" t="s">
        <v>200</v>
      </c>
      <c r="K139" s="1" t="s">
        <v>24</v>
      </c>
      <c r="N139" s="1">
        <v>51.0</v>
      </c>
      <c r="O139" s="1">
        <v>66.0</v>
      </c>
      <c r="P139" s="1">
        <v>49.0</v>
      </c>
      <c r="Q139" s="1">
        <v>403.15</v>
      </c>
      <c r="R139" s="1">
        <v>0.07</v>
      </c>
      <c r="T139" s="3">
        <v>0.83</v>
      </c>
    </row>
    <row r="140" ht="15.75" customHeight="1">
      <c r="A140" s="1" t="s">
        <v>25</v>
      </c>
      <c r="B140" s="1">
        <v>161.0</v>
      </c>
      <c r="C140" s="1" t="s">
        <v>191</v>
      </c>
      <c r="D140" s="1" t="s">
        <v>199</v>
      </c>
      <c r="G140" s="1" t="s">
        <v>201</v>
      </c>
      <c r="K140" s="1" t="s">
        <v>24</v>
      </c>
      <c r="N140" s="1">
        <v>51.0</v>
      </c>
      <c r="O140" s="1">
        <v>64.0</v>
      </c>
      <c r="P140" s="1">
        <v>49.0</v>
      </c>
      <c r="Q140" s="1">
        <v>380.46</v>
      </c>
      <c r="R140" s="1">
        <v>0.07</v>
      </c>
      <c r="T140" s="3">
        <v>0.83</v>
      </c>
    </row>
    <row r="141" ht="15.75" customHeight="1">
      <c r="A141" s="1" t="s">
        <v>25</v>
      </c>
      <c r="B141" s="1">
        <v>182.0</v>
      </c>
      <c r="C141" s="1" t="s">
        <v>189</v>
      </c>
      <c r="D141" s="1" t="s">
        <v>199</v>
      </c>
      <c r="G141" s="1" t="s">
        <v>194</v>
      </c>
      <c r="K141" s="1" t="s">
        <v>24</v>
      </c>
      <c r="N141" s="1">
        <v>32.0</v>
      </c>
      <c r="O141" s="1">
        <v>45.0</v>
      </c>
      <c r="P141" s="1">
        <v>31.0</v>
      </c>
      <c r="Q141" s="1">
        <v>275.22</v>
      </c>
      <c r="R141" s="1">
        <v>0.05</v>
      </c>
      <c r="T141" s="3">
        <v>0.83</v>
      </c>
    </row>
    <row r="142" ht="15.75" customHeight="1">
      <c r="A142" s="1" t="s">
        <v>25</v>
      </c>
      <c r="B142" s="1">
        <v>146.0</v>
      </c>
      <c r="C142" s="1" t="s">
        <v>191</v>
      </c>
      <c r="D142" s="1" t="s">
        <v>199</v>
      </c>
      <c r="G142" s="1" t="s">
        <v>195</v>
      </c>
      <c r="K142" s="1" t="s">
        <v>24</v>
      </c>
      <c r="N142" s="1">
        <v>36.0</v>
      </c>
      <c r="O142" s="1">
        <v>71.0</v>
      </c>
      <c r="P142" s="1">
        <v>35.0</v>
      </c>
      <c r="Q142" s="1">
        <v>511.23</v>
      </c>
      <c r="R142" s="1">
        <v>0.09</v>
      </c>
      <c r="T142" s="3">
        <v>0.83</v>
      </c>
    </row>
    <row r="143" ht="15.75" customHeight="1">
      <c r="A143" s="1" t="s">
        <v>25</v>
      </c>
      <c r="B143" s="1">
        <v>153.0</v>
      </c>
      <c r="C143" s="1" t="s">
        <v>202</v>
      </c>
      <c r="D143" s="1" t="s">
        <v>199</v>
      </c>
      <c r="G143" s="1" t="s">
        <v>203</v>
      </c>
      <c r="K143" s="1" t="s">
        <v>24</v>
      </c>
      <c r="N143" s="1">
        <v>14.0</v>
      </c>
      <c r="O143" s="1">
        <v>20.0</v>
      </c>
      <c r="P143" s="1">
        <v>9.0</v>
      </c>
      <c r="Q143" s="1">
        <v>446.79</v>
      </c>
      <c r="R143" s="1">
        <v>0.08</v>
      </c>
      <c r="T143" s="4">
        <f t="shared" ref="T143:T146" si="9">0.83*5</f>
        <v>4.15</v>
      </c>
    </row>
    <row r="144" ht="15.75" customHeight="1">
      <c r="A144" s="1" t="s">
        <v>25</v>
      </c>
      <c r="B144" s="1">
        <v>244.0</v>
      </c>
      <c r="C144" s="1" t="s">
        <v>204</v>
      </c>
      <c r="D144" s="1" t="s">
        <v>199</v>
      </c>
      <c r="G144" s="1" t="s">
        <v>203</v>
      </c>
      <c r="K144" s="1" t="s">
        <v>24</v>
      </c>
      <c r="N144" s="1">
        <v>2.0</v>
      </c>
      <c r="O144" s="1">
        <v>2.0</v>
      </c>
      <c r="P144" s="1">
        <v>2.0</v>
      </c>
      <c r="Q144" s="1">
        <v>39.91</v>
      </c>
      <c r="R144" s="1">
        <v>0.01</v>
      </c>
      <c r="T144" s="4">
        <f t="shared" si="9"/>
        <v>4.15</v>
      </c>
    </row>
    <row r="145" ht="15.75" customHeight="1">
      <c r="A145" s="1" t="s">
        <v>25</v>
      </c>
      <c r="B145" s="1">
        <v>159.0</v>
      </c>
      <c r="C145" s="1" t="s">
        <v>205</v>
      </c>
      <c r="D145" s="1" t="s">
        <v>199</v>
      </c>
      <c r="G145" s="1" t="s">
        <v>206</v>
      </c>
      <c r="K145" s="1" t="s">
        <v>24</v>
      </c>
      <c r="N145" s="1">
        <v>14.0</v>
      </c>
      <c r="O145" s="1">
        <v>18.0</v>
      </c>
      <c r="P145" s="1">
        <v>12.0</v>
      </c>
      <c r="Q145" s="1">
        <v>389.37</v>
      </c>
      <c r="R145" s="1">
        <v>0.07</v>
      </c>
      <c r="T145" s="4">
        <f t="shared" si="9"/>
        <v>4.15</v>
      </c>
    </row>
    <row r="146" ht="15.75" customHeight="1">
      <c r="A146" s="1" t="s">
        <v>25</v>
      </c>
      <c r="B146" s="1">
        <v>204.0</v>
      </c>
      <c r="C146" s="1" t="s">
        <v>207</v>
      </c>
      <c r="D146" s="1" t="s">
        <v>199</v>
      </c>
      <c r="G146" s="1" t="s">
        <v>206</v>
      </c>
      <c r="K146" s="1" t="s">
        <v>24</v>
      </c>
      <c r="N146" s="1">
        <v>5.0</v>
      </c>
      <c r="O146" s="1">
        <v>7.0</v>
      </c>
      <c r="P146" s="1">
        <v>4.0</v>
      </c>
      <c r="Q146" s="1">
        <v>154.99</v>
      </c>
      <c r="R146" s="1">
        <v>0.03</v>
      </c>
      <c r="T146" s="4">
        <f t="shared" si="9"/>
        <v>4.15</v>
      </c>
    </row>
    <row r="147" ht="15.75" customHeight="1">
      <c r="A147" s="1" t="s">
        <v>25</v>
      </c>
      <c r="B147" s="1">
        <v>79.0</v>
      </c>
      <c r="C147" s="1" t="s">
        <v>208</v>
      </c>
      <c r="D147" s="1" t="s">
        <v>209</v>
      </c>
      <c r="G147" s="1" t="s">
        <v>210</v>
      </c>
      <c r="K147" s="1" t="s">
        <v>24</v>
      </c>
      <c r="N147" s="1">
        <v>48.0</v>
      </c>
      <c r="O147" s="1">
        <v>49.0</v>
      </c>
      <c r="P147" s="1">
        <v>44.0</v>
      </c>
      <c r="Q147" s="1">
        <v>1607.55</v>
      </c>
      <c r="R147" s="1">
        <v>0.28</v>
      </c>
      <c r="T147" s="3">
        <v>6.35</v>
      </c>
    </row>
    <row r="148" ht="15.75" customHeight="1">
      <c r="A148" s="1" t="s">
        <v>25</v>
      </c>
      <c r="B148" s="1">
        <v>166.0</v>
      </c>
      <c r="C148" s="1" t="s">
        <v>211</v>
      </c>
      <c r="D148" s="1" t="s">
        <v>209</v>
      </c>
      <c r="G148" s="1" t="s">
        <v>212</v>
      </c>
      <c r="K148" s="1" t="s">
        <v>24</v>
      </c>
      <c r="N148" s="1">
        <v>7.0</v>
      </c>
      <c r="O148" s="1">
        <v>7.0</v>
      </c>
      <c r="P148" s="1">
        <v>5.0</v>
      </c>
      <c r="Q148" s="1">
        <v>356.03</v>
      </c>
      <c r="R148" s="1">
        <v>0.06</v>
      </c>
      <c r="T148" s="4">
        <v>12.7</v>
      </c>
    </row>
    <row r="149" ht="15.75" customHeight="1">
      <c r="A149" s="1" t="s">
        <v>25</v>
      </c>
      <c r="B149" s="1">
        <v>100.0</v>
      </c>
      <c r="C149" s="1" t="s">
        <v>208</v>
      </c>
      <c r="D149" s="1" t="s">
        <v>209</v>
      </c>
      <c r="G149" s="1" t="s">
        <v>213</v>
      </c>
      <c r="K149" s="1" t="s">
        <v>24</v>
      </c>
      <c r="N149" s="1">
        <v>38.0</v>
      </c>
      <c r="O149" s="1">
        <v>46.0</v>
      </c>
      <c r="P149" s="1">
        <v>30.0</v>
      </c>
      <c r="Q149" s="1">
        <v>1187.83</v>
      </c>
      <c r="R149" s="1">
        <v>0.21</v>
      </c>
      <c r="T149" s="3">
        <v>6.35</v>
      </c>
    </row>
    <row r="150" ht="15.75" customHeight="1">
      <c r="A150" s="1" t="s">
        <v>25</v>
      </c>
      <c r="B150" s="1">
        <v>64.0</v>
      </c>
      <c r="C150" s="1" t="s">
        <v>208</v>
      </c>
      <c r="D150" s="1" t="s">
        <v>209</v>
      </c>
      <c r="G150" s="1" t="s">
        <v>214</v>
      </c>
      <c r="K150" s="1" t="s">
        <v>24</v>
      </c>
      <c r="N150" s="1">
        <v>79.0</v>
      </c>
      <c r="O150" s="1">
        <v>87.0</v>
      </c>
      <c r="P150" s="1">
        <v>67.0</v>
      </c>
      <c r="Q150" s="1">
        <v>2098.8</v>
      </c>
      <c r="R150" s="1">
        <v>0.37</v>
      </c>
      <c r="T150" s="3">
        <v>6.35</v>
      </c>
    </row>
    <row r="151" ht="15.75" customHeight="1">
      <c r="A151" s="1" t="s">
        <v>25</v>
      </c>
      <c r="B151" s="1">
        <v>169.0</v>
      </c>
      <c r="C151" s="1" t="s">
        <v>215</v>
      </c>
      <c r="D151" s="1" t="s">
        <v>209</v>
      </c>
      <c r="G151" s="1" t="s">
        <v>216</v>
      </c>
      <c r="K151" s="1" t="s">
        <v>24</v>
      </c>
      <c r="N151" s="1">
        <v>4.0</v>
      </c>
      <c r="O151" s="1">
        <v>4.0</v>
      </c>
      <c r="P151" s="1">
        <v>4.0</v>
      </c>
      <c r="Q151" s="1">
        <v>352.51</v>
      </c>
      <c r="R151" s="1">
        <v>0.06</v>
      </c>
      <c r="T151" s="4">
        <v>25.4</v>
      </c>
    </row>
    <row r="152" ht="15.75" customHeight="1">
      <c r="A152" s="1" t="s">
        <v>25</v>
      </c>
      <c r="B152" s="1">
        <v>233.0</v>
      </c>
      <c r="C152" s="1" t="s">
        <v>217</v>
      </c>
      <c r="D152" s="1" t="s">
        <v>209</v>
      </c>
      <c r="G152" s="1" t="s">
        <v>216</v>
      </c>
      <c r="K152" s="1" t="s">
        <v>24</v>
      </c>
      <c r="N152" s="1">
        <v>1.0</v>
      </c>
      <c r="O152" s="1">
        <v>1.0</v>
      </c>
      <c r="P152" s="1">
        <v>1.0</v>
      </c>
      <c r="Q152" s="1">
        <v>68.32</v>
      </c>
      <c r="R152" s="1">
        <v>0.01</v>
      </c>
      <c r="T152" s="4">
        <v>25.4</v>
      </c>
    </row>
    <row r="153" ht="15.75" customHeight="1">
      <c r="A153" s="1" t="s">
        <v>25</v>
      </c>
      <c r="B153" s="1">
        <v>236.0</v>
      </c>
      <c r="C153" s="1" t="s">
        <v>218</v>
      </c>
      <c r="D153" s="1" t="s">
        <v>219</v>
      </c>
      <c r="G153" s="1" t="s">
        <v>220</v>
      </c>
      <c r="K153" s="1" t="s">
        <v>24</v>
      </c>
      <c r="N153" s="1">
        <v>2.0</v>
      </c>
      <c r="O153" s="1">
        <v>2.0</v>
      </c>
      <c r="P153" s="1">
        <v>2.0</v>
      </c>
      <c r="Q153" s="1">
        <v>56.14</v>
      </c>
      <c r="R153" s="1">
        <v>0.01</v>
      </c>
      <c r="T153" s="3">
        <v>12.93</v>
      </c>
    </row>
    <row r="154" ht="15.75" customHeight="1">
      <c r="A154" s="1" t="s">
        <v>25</v>
      </c>
      <c r="B154" s="1">
        <v>177.0</v>
      </c>
      <c r="C154" s="1" t="s">
        <v>221</v>
      </c>
      <c r="D154" s="1" t="s">
        <v>219</v>
      </c>
      <c r="G154" s="1" t="s">
        <v>222</v>
      </c>
      <c r="K154" s="1" t="s">
        <v>24</v>
      </c>
      <c r="N154" s="1">
        <v>5.0</v>
      </c>
      <c r="O154" s="1">
        <v>9.0</v>
      </c>
      <c r="P154" s="1">
        <v>4.0</v>
      </c>
      <c r="Q154" s="1">
        <v>319.08</v>
      </c>
      <c r="R154" s="1">
        <v>0.06</v>
      </c>
      <c r="T154" s="3">
        <v>12.93</v>
      </c>
    </row>
    <row r="155" ht="15.75" customHeight="1">
      <c r="A155" s="1" t="s">
        <v>25</v>
      </c>
      <c r="B155" s="1">
        <v>230.0</v>
      </c>
      <c r="C155" s="1" t="s">
        <v>218</v>
      </c>
      <c r="D155" s="1" t="s">
        <v>219</v>
      </c>
      <c r="G155" s="1" t="s">
        <v>223</v>
      </c>
      <c r="K155" s="1" t="s">
        <v>24</v>
      </c>
      <c r="N155" s="1">
        <v>2.0</v>
      </c>
      <c r="O155" s="1">
        <v>2.0</v>
      </c>
      <c r="P155" s="1">
        <v>2.0</v>
      </c>
      <c r="Q155" s="1">
        <v>77.8</v>
      </c>
      <c r="R155" s="1">
        <v>0.01</v>
      </c>
      <c r="T155" s="3">
        <v>12.93</v>
      </c>
    </row>
    <row r="156" ht="15.75" customHeight="1">
      <c r="A156" s="1" t="s">
        <v>25</v>
      </c>
      <c r="B156" s="1">
        <v>247.0</v>
      </c>
      <c r="C156" s="1" t="s">
        <v>218</v>
      </c>
      <c r="D156" s="1" t="s">
        <v>219</v>
      </c>
      <c r="G156" s="1" t="s">
        <v>222</v>
      </c>
      <c r="K156" s="1" t="s">
        <v>24</v>
      </c>
      <c r="N156" s="1">
        <v>1.0</v>
      </c>
      <c r="O156" s="1">
        <v>1.0</v>
      </c>
      <c r="P156" s="1">
        <v>1.0</v>
      </c>
      <c r="Q156" s="1">
        <v>38.9</v>
      </c>
      <c r="R156" s="1">
        <v>0.01</v>
      </c>
      <c r="T156" s="3">
        <v>12.93</v>
      </c>
    </row>
    <row r="157" ht="15.75" customHeight="1">
      <c r="A157" s="1" t="s">
        <v>25</v>
      </c>
      <c r="B157" s="1">
        <v>151.0</v>
      </c>
      <c r="C157" s="1" t="s">
        <v>218</v>
      </c>
      <c r="D157" s="1" t="s">
        <v>219</v>
      </c>
      <c r="G157" s="1" t="s">
        <v>224</v>
      </c>
      <c r="K157" s="1" t="s">
        <v>24</v>
      </c>
      <c r="N157" s="1">
        <v>12.0</v>
      </c>
      <c r="O157" s="1">
        <v>13.0</v>
      </c>
      <c r="P157" s="1">
        <v>11.0</v>
      </c>
      <c r="Q157" s="1">
        <v>456.47</v>
      </c>
      <c r="R157" s="1">
        <v>0.08</v>
      </c>
      <c r="T157" s="3">
        <v>12.93</v>
      </c>
    </row>
    <row r="158" ht="15.75" customHeight="1">
      <c r="A158" s="1" t="s">
        <v>25</v>
      </c>
      <c r="B158" s="1">
        <v>199.0</v>
      </c>
      <c r="C158" s="1" t="s">
        <v>221</v>
      </c>
      <c r="D158" s="1" t="s">
        <v>219</v>
      </c>
      <c r="G158" s="1" t="s">
        <v>224</v>
      </c>
      <c r="K158" s="1" t="s">
        <v>24</v>
      </c>
      <c r="N158" s="1">
        <v>5.0</v>
      </c>
      <c r="O158" s="1">
        <v>5.0</v>
      </c>
      <c r="P158" s="1">
        <v>4.0</v>
      </c>
      <c r="Q158" s="1">
        <v>167.43</v>
      </c>
      <c r="R158" s="1">
        <v>0.03</v>
      </c>
      <c r="T158" s="3">
        <v>12.93</v>
      </c>
    </row>
    <row r="159" ht="15.75" customHeight="1">
      <c r="A159" s="1" t="s">
        <v>32</v>
      </c>
      <c r="B159" s="1">
        <v>14.0</v>
      </c>
      <c r="C159" s="1" t="s">
        <v>225</v>
      </c>
      <c r="D159" s="1" t="s">
        <v>226</v>
      </c>
      <c r="G159" s="1" t="s">
        <v>227</v>
      </c>
      <c r="K159" s="1" t="s">
        <v>24</v>
      </c>
      <c r="N159" s="1">
        <v>167.0</v>
      </c>
      <c r="O159" s="1">
        <v>278.0</v>
      </c>
      <c r="P159" s="1">
        <v>123.0</v>
      </c>
      <c r="Q159" s="1">
        <v>7805.8</v>
      </c>
      <c r="R159" s="1">
        <v>1.36</v>
      </c>
      <c r="T159" s="3">
        <v>6.09</v>
      </c>
    </row>
    <row r="160" ht="15.75" customHeight="1">
      <c r="A160" s="1" t="s">
        <v>25</v>
      </c>
      <c r="B160" s="1">
        <v>68.0</v>
      </c>
      <c r="C160" s="1" t="s">
        <v>228</v>
      </c>
      <c r="D160" s="1" t="s">
        <v>226</v>
      </c>
      <c r="G160" s="1" t="s">
        <v>227</v>
      </c>
      <c r="K160" s="1" t="s">
        <v>24</v>
      </c>
      <c r="N160" s="1">
        <v>49.0</v>
      </c>
      <c r="O160" s="1">
        <v>72.0</v>
      </c>
      <c r="P160" s="1">
        <v>35.0</v>
      </c>
      <c r="Q160" s="1">
        <v>2027.04</v>
      </c>
      <c r="R160" s="1">
        <v>0.35</v>
      </c>
      <c r="T160" s="3">
        <v>6.09</v>
      </c>
    </row>
    <row r="161" ht="15.75" customHeight="1">
      <c r="A161" s="1" t="s">
        <v>20</v>
      </c>
      <c r="B161" s="1">
        <v>43.0</v>
      </c>
      <c r="C161" s="1" t="s">
        <v>229</v>
      </c>
      <c r="D161" s="1" t="s">
        <v>226</v>
      </c>
      <c r="G161" s="1" t="s">
        <v>230</v>
      </c>
      <c r="K161" s="1" t="s">
        <v>24</v>
      </c>
      <c r="N161" s="1">
        <v>77.0</v>
      </c>
      <c r="O161" s="1">
        <v>107.0</v>
      </c>
      <c r="P161" s="1">
        <v>59.0</v>
      </c>
      <c r="Q161" s="1">
        <v>2937.54</v>
      </c>
      <c r="R161" s="1">
        <v>0.51</v>
      </c>
      <c r="T161" s="3">
        <v>6.09</v>
      </c>
    </row>
    <row r="162" ht="15.75" customHeight="1">
      <c r="A162" s="1" t="s">
        <v>25</v>
      </c>
      <c r="B162" s="1">
        <v>126.0</v>
      </c>
      <c r="C162" s="1" t="s">
        <v>231</v>
      </c>
      <c r="D162" s="1" t="s">
        <v>226</v>
      </c>
      <c r="G162" s="1" t="s">
        <v>230</v>
      </c>
      <c r="K162" s="1" t="s">
        <v>24</v>
      </c>
      <c r="N162" s="1">
        <v>18.0</v>
      </c>
      <c r="O162" s="1">
        <v>24.0</v>
      </c>
      <c r="P162" s="1">
        <v>16.0</v>
      </c>
      <c r="Q162" s="1">
        <v>686.39</v>
      </c>
      <c r="R162" s="1">
        <v>0.12</v>
      </c>
      <c r="T162" s="3">
        <v>6.09</v>
      </c>
    </row>
    <row r="163" ht="15.75" customHeight="1">
      <c r="A163" s="1" t="s">
        <v>32</v>
      </c>
      <c r="B163" s="1">
        <v>17.0</v>
      </c>
      <c r="C163" s="1" t="s">
        <v>232</v>
      </c>
      <c r="D163" s="1" t="s">
        <v>226</v>
      </c>
      <c r="G163" s="1" t="s">
        <v>233</v>
      </c>
      <c r="K163" s="1" t="s">
        <v>24</v>
      </c>
      <c r="N163" s="1">
        <v>140.0</v>
      </c>
      <c r="O163" s="1">
        <v>241.0</v>
      </c>
      <c r="P163" s="1">
        <v>90.0</v>
      </c>
      <c r="Q163" s="1">
        <v>7150.64</v>
      </c>
      <c r="R163" s="1">
        <v>1.25</v>
      </c>
      <c r="T163" s="3">
        <v>6.74</v>
      </c>
    </row>
    <row r="164" ht="15.75" customHeight="1">
      <c r="A164" s="1" t="s">
        <v>25</v>
      </c>
      <c r="B164" s="1">
        <v>78.0</v>
      </c>
      <c r="C164" s="1" t="s">
        <v>234</v>
      </c>
      <c r="D164" s="1" t="s">
        <v>226</v>
      </c>
      <c r="G164" s="1" t="s">
        <v>233</v>
      </c>
      <c r="K164" s="1" t="s">
        <v>24</v>
      </c>
      <c r="N164" s="1">
        <v>37.0</v>
      </c>
      <c r="O164" s="1">
        <v>63.0</v>
      </c>
      <c r="P164" s="1">
        <v>28.0</v>
      </c>
      <c r="Q164" s="1">
        <v>1645.65</v>
      </c>
      <c r="R164" s="1">
        <v>0.29</v>
      </c>
      <c r="T164" s="3">
        <v>6.74</v>
      </c>
    </row>
    <row r="165" ht="15.75" customHeight="1">
      <c r="A165" s="1" t="s">
        <v>25</v>
      </c>
      <c r="B165" s="1">
        <v>205.0</v>
      </c>
      <c r="C165" s="1" t="s">
        <v>232</v>
      </c>
      <c r="D165" s="1" t="s">
        <v>226</v>
      </c>
      <c r="G165" s="1" t="s">
        <v>235</v>
      </c>
      <c r="K165" s="1" t="s">
        <v>24</v>
      </c>
      <c r="N165" s="1">
        <v>3.0</v>
      </c>
      <c r="O165" s="1">
        <v>3.0</v>
      </c>
      <c r="P165" s="1">
        <v>3.0</v>
      </c>
      <c r="Q165" s="1">
        <v>139.89</v>
      </c>
      <c r="R165" s="1">
        <v>0.02</v>
      </c>
      <c r="T165" s="3">
        <v>6.09</v>
      </c>
    </row>
    <row r="166" ht="15.75" customHeight="1">
      <c r="A166" s="1" t="s">
        <v>25</v>
      </c>
      <c r="B166" s="1">
        <v>178.0</v>
      </c>
      <c r="C166" s="1" t="s">
        <v>225</v>
      </c>
      <c r="D166" s="1" t="s">
        <v>226</v>
      </c>
      <c r="G166" s="1" t="s">
        <v>236</v>
      </c>
      <c r="K166" s="1" t="s">
        <v>24</v>
      </c>
      <c r="N166" s="1">
        <v>8.0</v>
      </c>
      <c r="O166" s="1">
        <v>10.0</v>
      </c>
      <c r="P166" s="1">
        <v>8.0</v>
      </c>
      <c r="Q166" s="1">
        <v>317.79</v>
      </c>
      <c r="R166" s="1">
        <v>0.06</v>
      </c>
      <c r="T166" s="3">
        <v>6.09</v>
      </c>
    </row>
    <row r="167" ht="15.75" customHeight="1">
      <c r="A167" s="1" t="s">
        <v>25</v>
      </c>
      <c r="B167" s="1">
        <v>67.0</v>
      </c>
      <c r="C167" s="1" t="s">
        <v>228</v>
      </c>
      <c r="D167" s="1" t="s">
        <v>226</v>
      </c>
      <c r="G167" s="1" t="s">
        <v>237</v>
      </c>
      <c r="K167" s="1" t="s">
        <v>24</v>
      </c>
      <c r="N167" s="1">
        <v>32.0</v>
      </c>
      <c r="O167" s="1">
        <v>79.0</v>
      </c>
      <c r="P167" s="1">
        <v>28.0</v>
      </c>
      <c r="Q167" s="1">
        <v>2053.93</v>
      </c>
      <c r="R167" s="1">
        <v>0.36</v>
      </c>
      <c r="T167" s="3">
        <v>6.09</v>
      </c>
    </row>
    <row r="168" ht="15.75" customHeight="1">
      <c r="A168" s="1" t="s">
        <v>25</v>
      </c>
      <c r="B168" s="1">
        <v>158.0</v>
      </c>
      <c r="C168" s="1" t="s">
        <v>225</v>
      </c>
      <c r="D168" s="1" t="s">
        <v>226</v>
      </c>
      <c r="G168" s="1" t="s">
        <v>237</v>
      </c>
      <c r="K168" s="1" t="s">
        <v>24</v>
      </c>
      <c r="N168" s="1">
        <v>7.0</v>
      </c>
      <c r="O168" s="1">
        <v>14.0</v>
      </c>
      <c r="P168" s="1">
        <v>7.0</v>
      </c>
      <c r="Q168" s="1">
        <v>394.68</v>
      </c>
      <c r="R168" s="1">
        <v>0.07</v>
      </c>
      <c r="T168" s="3">
        <v>6.09</v>
      </c>
    </row>
    <row r="169" ht="15.75" customHeight="1">
      <c r="A169" s="1" t="s">
        <v>25</v>
      </c>
      <c r="B169" s="1">
        <v>191.0</v>
      </c>
      <c r="C169" s="1" t="s">
        <v>229</v>
      </c>
      <c r="D169" s="1" t="s">
        <v>226</v>
      </c>
      <c r="G169" s="1" t="s">
        <v>238</v>
      </c>
      <c r="K169" s="1" t="s">
        <v>24</v>
      </c>
      <c r="N169" s="1">
        <v>2.0</v>
      </c>
      <c r="O169" s="1">
        <v>7.0</v>
      </c>
      <c r="P169" s="1">
        <v>2.0</v>
      </c>
      <c r="Q169" s="1">
        <v>209.3</v>
      </c>
      <c r="R169" s="1">
        <v>0.04</v>
      </c>
      <c r="T169" s="3">
        <v>6.09</v>
      </c>
    </row>
    <row r="170" ht="15.75" customHeight="1">
      <c r="A170" s="1" t="s">
        <v>25</v>
      </c>
      <c r="B170" s="1">
        <v>108.0</v>
      </c>
      <c r="C170" s="1" t="s">
        <v>231</v>
      </c>
      <c r="D170" s="1" t="s">
        <v>226</v>
      </c>
      <c r="G170" s="1" t="s">
        <v>239</v>
      </c>
      <c r="K170" s="1" t="s">
        <v>24</v>
      </c>
      <c r="N170" s="1">
        <v>24.0</v>
      </c>
      <c r="O170" s="1">
        <v>35.0</v>
      </c>
      <c r="P170" s="1">
        <v>23.0</v>
      </c>
      <c r="Q170" s="1">
        <v>948.23</v>
      </c>
      <c r="R170" s="1">
        <v>0.17</v>
      </c>
      <c r="T170" s="3">
        <v>6.09</v>
      </c>
    </row>
    <row r="171" ht="15.75" customHeight="1">
      <c r="A171" s="1" t="s">
        <v>25</v>
      </c>
      <c r="B171" s="1">
        <v>221.0</v>
      </c>
      <c r="C171" s="1" t="s">
        <v>229</v>
      </c>
      <c r="D171" s="1" t="s">
        <v>226</v>
      </c>
      <c r="G171" s="1" t="s">
        <v>239</v>
      </c>
      <c r="K171" s="1" t="s">
        <v>24</v>
      </c>
      <c r="N171" s="1">
        <v>3.0</v>
      </c>
      <c r="O171" s="1">
        <v>4.0</v>
      </c>
      <c r="P171" s="1">
        <v>3.0</v>
      </c>
      <c r="Q171" s="1">
        <v>108.97</v>
      </c>
      <c r="R171" s="1">
        <v>0.02</v>
      </c>
      <c r="T171" s="3">
        <v>6.09</v>
      </c>
    </row>
    <row r="172" ht="15.75" customHeight="1">
      <c r="A172" s="1" t="s">
        <v>25</v>
      </c>
      <c r="B172" s="1">
        <v>160.0</v>
      </c>
      <c r="C172" s="1" t="s">
        <v>232</v>
      </c>
      <c r="D172" s="1" t="s">
        <v>226</v>
      </c>
      <c r="G172" s="1" t="s">
        <v>240</v>
      </c>
      <c r="K172" s="1" t="s">
        <v>24</v>
      </c>
      <c r="N172" s="1">
        <v>7.0</v>
      </c>
      <c r="O172" s="1">
        <v>12.0</v>
      </c>
      <c r="P172" s="1">
        <v>7.0</v>
      </c>
      <c r="Q172" s="1">
        <v>382.78</v>
      </c>
      <c r="R172" s="1">
        <v>0.07</v>
      </c>
      <c r="T172" s="3">
        <v>6.09</v>
      </c>
    </row>
    <row r="173" ht="15.75" customHeight="1">
      <c r="A173" s="1" t="s">
        <v>25</v>
      </c>
      <c r="B173" s="1">
        <v>122.0</v>
      </c>
      <c r="C173" s="1" t="s">
        <v>234</v>
      </c>
      <c r="D173" s="1" t="s">
        <v>226</v>
      </c>
      <c r="G173" s="1" t="s">
        <v>241</v>
      </c>
      <c r="K173" s="1" t="s">
        <v>24</v>
      </c>
      <c r="N173" s="1">
        <v>16.0</v>
      </c>
      <c r="O173" s="1">
        <v>31.0</v>
      </c>
      <c r="P173" s="1">
        <v>13.0</v>
      </c>
      <c r="Q173" s="1">
        <v>746.25</v>
      </c>
      <c r="R173" s="1">
        <v>0.13</v>
      </c>
      <c r="T173" s="3">
        <v>6.74</v>
      </c>
    </row>
    <row r="174" ht="15.75" customHeight="1">
      <c r="A174" s="1" t="s">
        <v>25</v>
      </c>
      <c r="B174" s="1">
        <v>150.0</v>
      </c>
      <c r="C174" s="1" t="s">
        <v>232</v>
      </c>
      <c r="D174" s="1" t="s">
        <v>226</v>
      </c>
      <c r="G174" s="1" t="s">
        <v>241</v>
      </c>
      <c r="K174" s="1" t="s">
        <v>24</v>
      </c>
      <c r="N174" s="1">
        <v>2.0</v>
      </c>
      <c r="O174" s="1">
        <v>16.0</v>
      </c>
      <c r="P174" s="1">
        <v>2.0</v>
      </c>
      <c r="Q174" s="1">
        <v>478.4</v>
      </c>
      <c r="R174" s="1">
        <v>0.08</v>
      </c>
      <c r="T174" s="3">
        <v>6.74</v>
      </c>
    </row>
    <row r="175" ht="15.75" customHeight="1">
      <c r="A175" s="1" t="s">
        <v>20</v>
      </c>
      <c r="B175" s="1">
        <v>32.0</v>
      </c>
      <c r="C175" s="1" t="s">
        <v>242</v>
      </c>
      <c r="D175" s="1" t="s">
        <v>243</v>
      </c>
      <c r="G175" s="1" t="s">
        <v>33</v>
      </c>
      <c r="K175" s="1" t="s">
        <v>24</v>
      </c>
      <c r="N175" s="1">
        <v>53.0</v>
      </c>
      <c r="O175" s="1">
        <v>69.0</v>
      </c>
      <c r="P175" s="1">
        <v>39.0</v>
      </c>
      <c r="Q175" s="1">
        <v>4349.54</v>
      </c>
      <c r="R175" s="1">
        <v>0.76</v>
      </c>
      <c r="T175" s="3">
        <v>32.31</v>
      </c>
    </row>
    <row r="176" ht="15.75" customHeight="1">
      <c r="A176" s="1" t="s">
        <v>25</v>
      </c>
      <c r="B176" s="1">
        <v>77.0</v>
      </c>
      <c r="C176" s="1" t="s">
        <v>244</v>
      </c>
      <c r="D176" s="1" t="s">
        <v>243</v>
      </c>
      <c r="G176" s="1" t="s">
        <v>33</v>
      </c>
      <c r="K176" s="1" t="s">
        <v>24</v>
      </c>
      <c r="N176" s="1">
        <v>17.0</v>
      </c>
      <c r="O176" s="1">
        <v>24.0</v>
      </c>
      <c r="P176" s="1">
        <v>14.0</v>
      </c>
      <c r="Q176" s="1">
        <v>1659.34</v>
      </c>
      <c r="R176" s="1">
        <v>0.29</v>
      </c>
      <c r="T176" s="3">
        <v>32.31</v>
      </c>
    </row>
    <row r="177" ht="15.75" customHeight="1">
      <c r="A177" s="1" t="s">
        <v>25</v>
      </c>
      <c r="B177" s="1">
        <v>127.0</v>
      </c>
      <c r="C177" s="1" t="s">
        <v>245</v>
      </c>
      <c r="D177" s="1" t="s">
        <v>243</v>
      </c>
      <c r="G177" s="1" t="s">
        <v>41</v>
      </c>
      <c r="K177" s="1" t="s">
        <v>24</v>
      </c>
      <c r="N177" s="1">
        <v>7.0</v>
      </c>
      <c r="O177" s="1">
        <v>9.0</v>
      </c>
      <c r="P177" s="1">
        <v>7.0</v>
      </c>
      <c r="Q177" s="1">
        <v>679.68</v>
      </c>
      <c r="R177" s="1">
        <v>0.12</v>
      </c>
      <c r="T177" s="3">
        <v>32.31</v>
      </c>
    </row>
    <row r="178" ht="15.75" customHeight="1">
      <c r="A178" s="1" t="s">
        <v>25</v>
      </c>
      <c r="B178" s="1">
        <v>234.0</v>
      </c>
      <c r="C178" s="1" t="s">
        <v>246</v>
      </c>
      <c r="D178" s="1" t="s">
        <v>243</v>
      </c>
      <c r="G178" s="1" t="s">
        <v>41</v>
      </c>
      <c r="K178" s="1" t="s">
        <v>24</v>
      </c>
      <c r="N178" s="1">
        <v>1.0</v>
      </c>
      <c r="O178" s="1">
        <v>1.0</v>
      </c>
      <c r="P178" s="1">
        <v>1.0</v>
      </c>
      <c r="Q178" s="1">
        <v>67.92</v>
      </c>
      <c r="R178" s="1">
        <v>0.01</v>
      </c>
      <c r="T178" s="3">
        <v>32.31</v>
      </c>
    </row>
    <row r="179" ht="15.75" customHeight="1">
      <c r="A179" s="1" t="s">
        <v>32</v>
      </c>
      <c r="B179" s="1">
        <v>18.0</v>
      </c>
      <c r="C179" s="1" t="s">
        <v>247</v>
      </c>
      <c r="D179" s="1" t="s">
        <v>243</v>
      </c>
      <c r="G179" s="1" t="s">
        <v>43</v>
      </c>
      <c r="K179" s="1" t="s">
        <v>24</v>
      </c>
      <c r="N179" s="1">
        <v>86.0</v>
      </c>
      <c r="O179" s="1">
        <v>106.0</v>
      </c>
      <c r="P179" s="1">
        <v>55.0</v>
      </c>
      <c r="Q179" s="1">
        <v>6927.81</v>
      </c>
      <c r="R179" s="1">
        <v>1.21</v>
      </c>
      <c r="T179" s="3">
        <v>32.31</v>
      </c>
    </row>
    <row r="180" ht="15.75" customHeight="1">
      <c r="A180" s="1" t="s">
        <v>25</v>
      </c>
      <c r="B180" s="1">
        <v>51.0</v>
      </c>
      <c r="C180" s="1" t="s">
        <v>248</v>
      </c>
      <c r="D180" s="1" t="s">
        <v>243</v>
      </c>
      <c r="G180" s="1" t="s">
        <v>43</v>
      </c>
      <c r="K180" s="1" t="s">
        <v>24</v>
      </c>
      <c r="N180" s="1">
        <v>34.0</v>
      </c>
      <c r="O180" s="1">
        <v>41.0</v>
      </c>
      <c r="P180" s="1">
        <v>24.0</v>
      </c>
      <c r="Q180" s="1">
        <v>2522.78</v>
      </c>
      <c r="R180" s="1">
        <v>0.44</v>
      </c>
      <c r="T180" s="3">
        <v>32.31</v>
      </c>
    </row>
    <row r="181" ht="15.75" customHeight="1">
      <c r="A181" s="1" t="s">
        <v>25</v>
      </c>
      <c r="B181" s="1">
        <v>168.0</v>
      </c>
      <c r="C181" s="1" t="s">
        <v>242</v>
      </c>
      <c r="D181" s="1" t="s">
        <v>243</v>
      </c>
      <c r="G181" s="1" t="s">
        <v>52</v>
      </c>
      <c r="K181" s="1" t="s">
        <v>24</v>
      </c>
      <c r="N181" s="1">
        <v>2.0</v>
      </c>
      <c r="O181" s="1">
        <v>3.0</v>
      </c>
      <c r="P181" s="1">
        <v>2.0</v>
      </c>
      <c r="Q181" s="1">
        <v>355.45</v>
      </c>
      <c r="R181" s="1">
        <v>0.06</v>
      </c>
      <c r="T181" s="3">
        <v>32.31</v>
      </c>
    </row>
    <row r="182" ht="15.75" customHeight="1">
      <c r="A182" s="1" t="s">
        <v>25</v>
      </c>
      <c r="B182" s="1">
        <v>149.0</v>
      </c>
      <c r="C182" s="1" t="s">
        <v>242</v>
      </c>
      <c r="D182" s="1" t="s">
        <v>243</v>
      </c>
      <c r="G182" s="1" t="s">
        <v>249</v>
      </c>
      <c r="K182" s="1" t="s">
        <v>24</v>
      </c>
      <c r="N182" s="1">
        <v>2.0</v>
      </c>
      <c r="O182" s="1">
        <v>3.0</v>
      </c>
      <c r="P182" s="1">
        <v>2.0</v>
      </c>
      <c r="Q182" s="1">
        <v>479.97</v>
      </c>
      <c r="R182" s="1">
        <v>0.08</v>
      </c>
      <c r="T182" s="3">
        <v>32.31</v>
      </c>
    </row>
    <row r="183" ht="15.75" customHeight="1">
      <c r="A183" s="1" t="s">
        <v>25</v>
      </c>
      <c r="B183" s="1">
        <v>176.0</v>
      </c>
      <c r="C183" s="1" t="s">
        <v>247</v>
      </c>
      <c r="D183" s="1" t="s">
        <v>243</v>
      </c>
      <c r="G183" s="1" t="s">
        <v>55</v>
      </c>
      <c r="K183" s="1" t="s">
        <v>24</v>
      </c>
      <c r="N183" s="1">
        <v>1.0</v>
      </c>
      <c r="O183" s="1">
        <v>2.0</v>
      </c>
      <c r="P183" s="1">
        <v>1.0</v>
      </c>
      <c r="Q183" s="1">
        <v>319.98</v>
      </c>
      <c r="R183" s="1">
        <v>0.06</v>
      </c>
      <c r="T183" s="3">
        <v>32.31</v>
      </c>
    </row>
    <row r="184" ht="15.75" customHeight="1">
      <c r="A184" s="1" t="s">
        <v>25</v>
      </c>
      <c r="B184" s="1">
        <v>87.0</v>
      </c>
      <c r="C184" s="1" t="s">
        <v>242</v>
      </c>
      <c r="D184" s="1" t="s">
        <v>243</v>
      </c>
      <c r="G184" s="1" t="s">
        <v>236</v>
      </c>
      <c r="K184" s="1" t="s">
        <v>24</v>
      </c>
      <c r="N184" s="1">
        <v>11.0</v>
      </c>
      <c r="O184" s="1">
        <v>17.0</v>
      </c>
      <c r="P184" s="1">
        <v>10.0</v>
      </c>
      <c r="Q184" s="1">
        <v>1345.06</v>
      </c>
      <c r="R184" s="1">
        <v>0.23</v>
      </c>
      <c r="T184" s="3">
        <v>32.31</v>
      </c>
    </row>
    <row r="185" ht="15.75" customHeight="1">
      <c r="A185" s="1" t="s">
        <v>25</v>
      </c>
      <c r="B185" s="1">
        <v>49.0</v>
      </c>
      <c r="C185" s="1" t="s">
        <v>244</v>
      </c>
      <c r="D185" s="1" t="s">
        <v>243</v>
      </c>
      <c r="G185" s="1" t="s">
        <v>250</v>
      </c>
      <c r="K185" s="1" t="s">
        <v>24</v>
      </c>
      <c r="N185" s="1">
        <v>27.0</v>
      </c>
      <c r="O185" s="1">
        <v>35.0</v>
      </c>
      <c r="P185" s="1">
        <v>21.0</v>
      </c>
      <c r="Q185" s="1">
        <v>2689.34</v>
      </c>
      <c r="R185" s="1">
        <v>0.47</v>
      </c>
      <c r="T185" s="3">
        <v>32.31</v>
      </c>
    </row>
    <row r="186" ht="15.75" customHeight="1">
      <c r="A186" s="1" t="s">
        <v>25</v>
      </c>
      <c r="B186" s="1">
        <v>173.0</v>
      </c>
      <c r="C186" s="1" t="s">
        <v>242</v>
      </c>
      <c r="D186" s="1" t="s">
        <v>243</v>
      </c>
      <c r="G186" s="1" t="s">
        <v>250</v>
      </c>
      <c r="K186" s="1" t="s">
        <v>24</v>
      </c>
      <c r="N186" s="1">
        <v>5.0</v>
      </c>
      <c r="O186" s="1">
        <v>5.0</v>
      </c>
      <c r="P186" s="1">
        <v>5.0</v>
      </c>
      <c r="Q186" s="1">
        <v>332.2</v>
      </c>
      <c r="R186" s="1">
        <v>0.06</v>
      </c>
      <c r="T186" s="3">
        <v>32.31</v>
      </c>
    </row>
    <row r="187" ht="15.75" customHeight="1">
      <c r="A187" s="1" t="s">
        <v>25</v>
      </c>
      <c r="B187" s="1">
        <v>86.0</v>
      </c>
      <c r="C187" s="1" t="s">
        <v>245</v>
      </c>
      <c r="D187" s="1" t="s">
        <v>243</v>
      </c>
      <c r="G187" s="1" t="s">
        <v>251</v>
      </c>
      <c r="K187" s="1" t="s">
        <v>24</v>
      </c>
      <c r="N187" s="1">
        <v>14.0</v>
      </c>
      <c r="O187" s="1">
        <v>16.0</v>
      </c>
      <c r="P187" s="1">
        <v>12.0</v>
      </c>
      <c r="Q187" s="1">
        <v>1345.98</v>
      </c>
      <c r="R187" s="1">
        <v>0.23</v>
      </c>
      <c r="T187" s="3">
        <v>32.31</v>
      </c>
    </row>
    <row r="188" ht="15.75" customHeight="1">
      <c r="A188" s="1" t="s">
        <v>25</v>
      </c>
      <c r="B188" s="1">
        <v>165.0</v>
      </c>
      <c r="C188" s="1" t="s">
        <v>246</v>
      </c>
      <c r="D188" s="1" t="s">
        <v>243</v>
      </c>
      <c r="G188" s="1" t="s">
        <v>251</v>
      </c>
      <c r="K188" s="1" t="s">
        <v>24</v>
      </c>
      <c r="N188" s="1">
        <v>4.0</v>
      </c>
      <c r="O188" s="1">
        <v>4.0</v>
      </c>
      <c r="P188" s="1">
        <v>4.0</v>
      </c>
      <c r="Q188" s="1">
        <v>359.6</v>
      </c>
      <c r="R188" s="1">
        <v>0.06</v>
      </c>
      <c r="T188" s="3">
        <v>32.31</v>
      </c>
    </row>
    <row r="189" ht="15.75" customHeight="1">
      <c r="A189" s="1" t="s">
        <v>25</v>
      </c>
      <c r="B189" s="1">
        <v>142.0</v>
      </c>
      <c r="C189" s="1" t="s">
        <v>247</v>
      </c>
      <c r="D189" s="1" t="s">
        <v>243</v>
      </c>
      <c r="G189" s="1" t="s">
        <v>238</v>
      </c>
      <c r="K189" s="1" t="s">
        <v>24</v>
      </c>
      <c r="N189" s="1">
        <v>4.0</v>
      </c>
      <c r="O189" s="1">
        <v>9.0</v>
      </c>
      <c r="P189" s="1">
        <v>4.0</v>
      </c>
      <c r="Q189" s="1">
        <v>545.18</v>
      </c>
      <c r="R189" s="1">
        <v>0.1</v>
      </c>
      <c r="T189" s="3">
        <v>32.31</v>
      </c>
    </row>
    <row r="190" ht="15.75" customHeight="1">
      <c r="A190" s="1" t="s">
        <v>20</v>
      </c>
      <c r="B190" s="1">
        <v>37.0</v>
      </c>
      <c r="C190" s="1" t="s">
        <v>248</v>
      </c>
      <c r="D190" s="1" t="s">
        <v>243</v>
      </c>
      <c r="G190" s="1" t="s">
        <v>252</v>
      </c>
      <c r="K190" s="1" t="s">
        <v>24</v>
      </c>
      <c r="N190" s="1">
        <v>44.0</v>
      </c>
      <c r="O190" s="1">
        <v>58.0</v>
      </c>
      <c r="P190" s="1">
        <v>33.0</v>
      </c>
      <c r="Q190" s="1">
        <v>3716.65</v>
      </c>
      <c r="R190" s="1">
        <v>0.65</v>
      </c>
      <c r="T190" s="3">
        <v>32.31</v>
      </c>
    </row>
    <row r="191" ht="15.75" customHeight="1">
      <c r="A191" s="1" t="s">
        <v>25</v>
      </c>
      <c r="B191" s="1">
        <v>164.0</v>
      </c>
      <c r="C191" s="1" t="s">
        <v>247</v>
      </c>
      <c r="D191" s="1" t="s">
        <v>243</v>
      </c>
      <c r="G191" s="1" t="s">
        <v>252</v>
      </c>
      <c r="K191" s="1" t="s">
        <v>24</v>
      </c>
      <c r="N191" s="1">
        <v>5.0</v>
      </c>
      <c r="O191" s="1">
        <v>6.0</v>
      </c>
      <c r="P191" s="1">
        <v>5.0</v>
      </c>
      <c r="Q191" s="1">
        <v>363.45</v>
      </c>
      <c r="R191" s="1">
        <v>0.06</v>
      </c>
      <c r="T191" s="3">
        <v>32.31</v>
      </c>
    </row>
    <row r="192" ht="15.75" customHeight="1">
      <c r="A192" s="1" t="s">
        <v>25</v>
      </c>
      <c r="B192" s="1">
        <v>129.0</v>
      </c>
      <c r="C192" s="1" t="s">
        <v>253</v>
      </c>
      <c r="D192" s="1" t="s">
        <v>254</v>
      </c>
      <c r="G192" s="1" t="s">
        <v>223</v>
      </c>
      <c r="K192" s="1" t="s">
        <v>24</v>
      </c>
      <c r="N192" s="1">
        <v>16.0</v>
      </c>
      <c r="O192" s="1">
        <v>18.0</v>
      </c>
      <c r="P192" s="1">
        <v>16.0</v>
      </c>
      <c r="Q192" s="1">
        <v>661.68</v>
      </c>
      <c r="R192" s="1">
        <v>0.12</v>
      </c>
      <c r="T192" s="3">
        <v>8.37</v>
      </c>
    </row>
    <row r="193" ht="15.75" customHeight="1">
      <c r="A193" s="1" t="s">
        <v>25</v>
      </c>
      <c r="B193" s="1">
        <v>198.0</v>
      </c>
      <c r="C193" s="1" t="s">
        <v>255</v>
      </c>
      <c r="D193" s="1" t="s">
        <v>254</v>
      </c>
      <c r="G193" s="1" t="s">
        <v>223</v>
      </c>
      <c r="K193" s="1" t="s">
        <v>24</v>
      </c>
      <c r="N193" s="1">
        <v>2.0</v>
      </c>
      <c r="O193" s="1">
        <v>3.0</v>
      </c>
      <c r="P193" s="1">
        <v>2.0</v>
      </c>
      <c r="Q193" s="1">
        <v>172.31</v>
      </c>
      <c r="R193" s="1">
        <v>0.03</v>
      </c>
      <c r="T193" s="3">
        <v>8.37</v>
      </c>
    </row>
    <row r="194" ht="15.75" customHeight="1">
      <c r="A194" s="1" t="s">
        <v>25</v>
      </c>
      <c r="B194" s="1">
        <v>172.0</v>
      </c>
      <c r="C194" s="1" t="s">
        <v>255</v>
      </c>
      <c r="D194" s="1" t="s">
        <v>254</v>
      </c>
      <c r="G194" s="1" t="s">
        <v>256</v>
      </c>
      <c r="K194" s="1" t="s">
        <v>24</v>
      </c>
      <c r="N194" s="1">
        <v>8.0</v>
      </c>
      <c r="O194" s="1">
        <v>9.0</v>
      </c>
      <c r="P194" s="1">
        <v>8.0</v>
      </c>
      <c r="Q194" s="1">
        <v>336.7</v>
      </c>
      <c r="R194" s="1">
        <v>0.06</v>
      </c>
      <c r="T194" s="3">
        <v>8.37</v>
      </c>
    </row>
    <row r="195" ht="15.75" customHeight="1">
      <c r="A195" s="1" t="s">
        <v>25</v>
      </c>
      <c r="B195" s="1">
        <v>208.0</v>
      </c>
      <c r="C195" s="1" t="s">
        <v>253</v>
      </c>
      <c r="D195" s="1" t="s">
        <v>254</v>
      </c>
      <c r="G195" s="1" t="s">
        <v>256</v>
      </c>
      <c r="K195" s="1" t="s">
        <v>24</v>
      </c>
      <c r="N195" s="1">
        <v>4.0</v>
      </c>
      <c r="O195" s="1">
        <v>4.0</v>
      </c>
      <c r="P195" s="1">
        <v>4.0</v>
      </c>
      <c r="Q195" s="1">
        <v>134.44</v>
      </c>
      <c r="R195" s="1">
        <v>0.02</v>
      </c>
      <c r="T195" s="3">
        <v>8.37</v>
      </c>
    </row>
    <row r="196" ht="15.75" customHeight="1">
      <c r="A196" s="1" t="s">
        <v>25</v>
      </c>
      <c r="B196" s="1">
        <v>75.0</v>
      </c>
      <c r="C196" s="1" t="s">
        <v>255</v>
      </c>
      <c r="D196" s="1" t="s">
        <v>254</v>
      </c>
      <c r="G196" s="1" t="s">
        <v>257</v>
      </c>
      <c r="K196" s="1" t="s">
        <v>24</v>
      </c>
      <c r="N196" s="1">
        <v>33.0</v>
      </c>
      <c r="O196" s="1">
        <v>34.0</v>
      </c>
      <c r="P196" s="1">
        <v>29.0</v>
      </c>
      <c r="Q196" s="1">
        <v>1715.94</v>
      </c>
      <c r="R196" s="1">
        <v>0.3</v>
      </c>
      <c r="T196" s="3">
        <v>8.37</v>
      </c>
    </row>
    <row r="197" ht="15.75" customHeight="1">
      <c r="A197" s="1" t="s">
        <v>25</v>
      </c>
      <c r="B197" s="1">
        <v>190.0</v>
      </c>
      <c r="C197" s="1" t="s">
        <v>253</v>
      </c>
      <c r="D197" s="1" t="s">
        <v>254</v>
      </c>
      <c r="G197" s="1" t="s">
        <v>258</v>
      </c>
      <c r="K197" s="1" t="s">
        <v>24</v>
      </c>
      <c r="N197" s="1">
        <v>5.0</v>
      </c>
      <c r="O197" s="1">
        <v>5.0</v>
      </c>
      <c r="P197" s="1">
        <v>5.0</v>
      </c>
      <c r="Q197" s="1">
        <v>214.5</v>
      </c>
      <c r="R197" s="1">
        <v>0.04</v>
      </c>
      <c r="T197" s="3">
        <v>8.37</v>
      </c>
    </row>
    <row r="198" ht="15.75" customHeight="1">
      <c r="A198" s="1" t="s">
        <v>25</v>
      </c>
      <c r="B198" s="1">
        <v>90.0</v>
      </c>
      <c r="C198" s="1" t="s">
        <v>255</v>
      </c>
      <c r="D198" s="1" t="s">
        <v>254</v>
      </c>
      <c r="G198" s="1" t="s">
        <v>259</v>
      </c>
      <c r="K198" s="1" t="s">
        <v>24</v>
      </c>
      <c r="N198" s="1">
        <v>29.0</v>
      </c>
      <c r="O198" s="1">
        <v>31.0</v>
      </c>
      <c r="P198" s="1">
        <v>20.0</v>
      </c>
      <c r="Q198" s="1">
        <v>1316.0</v>
      </c>
      <c r="R198" s="1">
        <v>0.23</v>
      </c>
      <c r="T198" s="3">
        <v>8.37</v>
      </c>
    </row>
    <row r="199" ht="15.75" customHeight="1">
      <c r="A199" s="1" t="s">
        <v>25</v>
      </c>
      <c r="B199" s="1">
        <v>210.0</v>
      </c>
      <c r="C199" s="1" t="s">
        <v>253</v>
      </c>
      <c r="D199" s="1" t="s">
        <v>254</v>
      </c>
      <c r="G199" s="1" t="s">
        <v>259</v>
      </c>
      <c r="K199" s="1" t="s">
        <v>24</v>
      </c>
      <c r="N199" s="1">
        <v>3.0</v>
      </c>
      <c r="O199" s="1">
        <v>3.0</v>
      </c>
      <c r="P199" s="1">
        <v>3.0</v>
      </c>
      <c r="Q199" s="1">
        <v>128.7</v>
      </c>
      <c r="R199" s="1">
        <v>0.02</v>
      </c>
      <c r="T199" s="3">
        <v>8.37</v>
      </c>
    </row>
    <row r="200" ht="15.75" customHeight="1">
      <c r="A200" s="1" t="s">
        <v>25</v>
      </c>
      <c r="B200" s="1">
        <v>54.0</v>
      </c>
      <c r="C200" s="1" t="s">
        <v>260</v>
      </c>
      <c r="D200" s="1" t="s">
        <v>261</v>
      </c>
      <c r="G200" s="1" t="s">
        <v>262</v>
      </c>
      <c r="K200" s="1" t="s">
        <v>24</v>
      </c>
      <c r="N200" s="1">
        <v>40.0</v>
      </c>
      <c r="O200" s="1">
        <v>47.0</v>
      </c>
      <c r="P200" s="1">
        <v>34.0</v>
      </c>
      <c r="Q200" s="1">
        <v>2346.72</v>
      </c>
      <c r="R200" s="1">
        <v>0.41</v>
      </c>
      <c r="T200" s="3">
        <v>6.54</v>
      </c>
    </row>
    <row r="201" ht="15.75" customHeight="1">
      <c r="A201" s="1" t="s">
        <v>25</v>
      </c>
      <c r="B201" s="1">
        <v>98.0</v>
      </c>
      <c r="C201" s="1" t="s">
        <v>260</v>
      </c>
      <c r="D201" s="1" t="s">
        <v>261</v>
      </c>
      <c r="G201" s="1" t="s">
        <v>263</v>
      </c>
      <c r="K201" s="1" t="s">
        <v>24</v>
      </c>
      <c r="N201" s="1">
        <v>31.0</v>
      </c>
      <c r="O201" s="1">
        <v>37.0</v>
      </c>
      <c r="P201" s="1">
        <v>27.0</v>
      </c>
      <c r="Q201" s="1">
        <v>1202.24</v>
      </c>
      <c r="R201" s="1">
        <v>0.21</v>
      </c>
      <c r="T201" s="3">
        <v>6.54</v>
      </c>
    </row>
    <row r="202" ht="15.75" customHeight="1">
      <c r="A202" s="1" t="s">
        <v>20</v>
      </c>
      <c r="B202" s="1">
        <v>23.0</v>
      </c>
      <c r="C202" s="1" t="s">
        <v>260</v>
      </c>
      <c r="D202" s="1" t="s">
        <v>261</v>
      </c>
      <c r="G202" s="1" t="s">
        <v>43</v>
      </c>
      <c r="K202" s="1" t="s">
        <v>24</v>
      </c>
      <c r="N202" s="1">
        <v>152.0</v>
      </c>
      <c r="O202" s="1">
        <v>188.0</v>
      </c>
      <c r="P202" s="1">
        <v>118.0</v>
      </c>
      <c r="Q202" s="1">
        <v>5812.69</v>
      </c>
      <c r="R202" s="1">
        <v>1.01</v>
      </c>
      <c r="T202" s="3">
        <v>6.54</v>
      </c>
    </row>
    <row r="203" ht="15.75" customHeight="1">
      <c r="A203" s="1" t="s">
        <v>25</v>
      </c>
      <c r="B203" s="1">
        <v>118.0</v>
      </c>
      <c r="C203" s="1" t="s">
        <v>264</v>
      </c>
      <c r="D203" s="1" t="s">
        <v>261</v>
      </c>
      <c r="G203" s="1" t="s">
        <v>43</v>
      </c>
      <c r="K203" s="1" t="s">
        <v>24</v>
      </c>
      <c r="N203" s="1">
        <v>17.0</v>
      </c>
      <c r="O203" s="1">
        <v>28.0</v>
      </c>
      <c r="P203" s="1">
        <v>15.0</v>
      </c>
      <c r="Q203" s="1">
        <v>785.94</v>
      </c>
      <c r="R203" s="1">
        <v>0.14</v>
      </c>
      <c r="T203" s="3">
        <v>6.54</v>
      </c>
    </row>
    <row r="204" ht="15.75" customHeight="1">
      <c r="A204" s="1" t="s">
        <v>25</v>
      </c>
      <c r="B204" s="1">
        <v>81.0</v>
      </c>
      <c r="C204" s="1" t="s">
        <v>260</v>
      </c>
      <c r="D204" s="1" t="s">
        <v>261</v>
      </c>
      <c r="G204" s="1" t="s">
        <v>265</v>
      </c>
      <c r="K204" s="1" t="s">
        <v>24</v>
      </c>
      <c r="N204" s="1">
        <v>34.0</v>
      </c>
      <c r="O204" s="1">
        <v>44.0</v>
      </c>
      <c r="P204" s="1">
        <v>24.0</v>
      </c>
      <c r="Q204" s="1">
        <v>1510.12</v>
      </c>
      <c r="R204" s="1">
        <v>0.26</v>
      </c>
      <c r="T204" s="3">
        <v>6.54</v>
      </c>
    </row>
    <row r="205" ht="15.75" customHeight="1">
      <c r="A205" s="1" t="s">
        <v>25</v>
      </c>
      <c r="B205" s="1">
        <v>80.0</v>
      </c>
      <c r="C205" s="1" t="s">
        <v>264</v>
      </c>
      <c r="D205" s="1" t="s">
        <v>261</v>
      </c>
      <c r="G205" s="1" t="s">
        <v>55</v>
      </c>
      <c r="K205" s="1" t="s">
        <v>24</v>
      </c>
      <c r="N205" s="1">
        <v>30.0</v>
      </c>
      <c r="O205" s="1">
        <v>48.0</v>
      </c>
      <c r="P205" s="1">
        <v>27.0</v>
      </c>
      <c r="Q205" s="1">
        <v>1529.08</v>
      </c>
      <c r="R205" s="1">
        <v>0.27</v>
      </c>
      <c r="T205" s="3">
        <v>6.54</v>
      </c>
    </row>
    <row r="206" ht="15.75" customHeight="1">
      <c r="A206" s="1" t="s">
        <v>25</v>
      </c>
      <c r="B206" s="1">
        <v>116.0</v>
      </c>
      <c r="C206" s="1" t="s">
        <v>260</v>
      </c>
      <c r="D206" s="1" t="s">
        <v>261</v>
      </c>
      <c r="G206" s="1" t="s">
        <v>55</v>
      </c>
      <c r="K206" s="1" t="s">
        <v>24</v>
      </c>
      <c r="N206" s="1">
        <v>9.0</v>
      </c>
      <c r="O206" s="1">
        <v>24.0</v>
      </c>
      <c r="P206" s="1">
        <v>9.0</v>
      </c>
      <c r="Q206" s="1">
        <v>802.85</v>
      </c>
      <c r="R206" s="1">
        <v>0.14</v>
      </c>
      <c r="T206" s="3">
        <v>6.54</v>
      </c>
    </row>
    <row r="207" ht="15.75" customHeight="1">
      <c r="A207" s="1" t="s">
        <v>25</v>
      </c>
      <c r="B207" s="1">
        <v>170.0</v>
      </c>
      <c r="C207" s="1" t="s">
        <v>266</v>
      </c>
      <c r="D207" s="1" t="s">
        <v>261</v>
      </c>
      <c r="G207" s="1" t="s">
        <v>267</v>
      </c>
      <c r="K207" s="1" t="s">
        <v>24</v>
      </c>
      <c r="N207" s="1">
        <v>5.0</v>
      </c>
      <c r="O207" s="1">
        <v>5.0</v>
      </c>
      <c r="P207" s="1">
        <v>4.0</v>
      </c>
      <c r="Q207" s="1">
        <v>340.0</v>
      </c>
      <c r="R207" s="1">
        <v>0.06</v>
      </c>
      <c r="T207" s="4">
        <f>T206*2</f>
        <v>13.08</v>
      </c>
    </row>
    <row r="208" ht="15.75" customHeight="1">
      <c r="A208" s="1" t="s">
        <v>25</v>
      </c>
      <c r="B208" s="1">
        <v>207.0</v>
      </c>
      <c r="C208" s="1" t="s">
        <v>268</v>
      </c>
      <c r="D208" s="1" t="s">
        <v>261</v>
      </c>
      <c r="G208" s="1" t="s">
        <v>267</v>
      </c>
      <c r="K208" s="1" t="s">
        <v>24</v>
      </c>
      <c r="N208" s="1">
        <v>2.0</v>
      </c>
      <c r="O208" s="1">
        <v>2.0</v>
      </c>
      <c r="P208" s="1">
        <v>2.0</v>
      </c>
      <c r="Q208" s="1">
        <v>136.0</v>
      </c>
      <c r="R208" s="1">
        <v>0.02</v>
      </c>
      <c r="T208" s="4">
        <v>13.08</v>
      </c>
    </row>
    <row r="209" ht="15.75" customHeight="1">
      <c r="A209" s="1" t="s">
        <v>25</v>
      </c>
      <c r="B209" s="1">
        <v>140.0</v>
      </c>
      <c r="C209" s="1" t="s">
        <v>269</v>
      </c>
      <c r="D209" s="1" t="s">
        <v>261</v>
      </c>
      <c r="G209" s="1" t="s">
        <v>270</v>
      </c>
      <c r="K209" s="1" t="s">
        <v>24</v>
      </c>
      <c r="N209" s="1">
        <v>5.0</v>
      </c>
      <c r="O209" s="1">
        <v>5.0</v>
      </c>
      <c r="P209" s="1">
        <v>5.0</v>
      </c>
      <c r="Q209" s="1">
        <v>562.62</v>
      </c>
      <c r="R209" s="1">
        <v>0.1</v>
      </c>
      <c r="T209" s="4">
        <f>T207*2</f>
        <v>26.16</v>
      </c>
    </row>
    <row r="210" ht="15.75" customHeight="1">
      <c r="A210" s="1" t="s">
        <v>25</v>
      </c>
      <c r="B210" s="1">
        <v>167.0</v>
      </c>
      <c r="C210" s="1" t="s">
        <v>271</v>
      </c>
      <c r="D210" s="1" t="s">
        <v>261</v>
      </c>
      <c r="G210" s="1" t="s">
        <v>270</v>
      </c>
      <c r="K210" s="1" t="s">
        <v>24</v>
      </c>
      <c r="N210" s="1">
        <v>3.0</v>
      </c>
      <c r="O210" s="1">
        <v>3.0</v>
      </c>
      <c r="P210" s="1">
        <v>2.0</v>
      </c>
      <c r="Q210" s="1">
        <v>355.68</v>
      </c>
      <c r="R210" s="1">
        <v>0.06</v>
      </c>
      <c r="T210" s="3">
        <v>6.54</v>
      </c>
    </row>
    <row r="211" ht="15.75" customHeight="1">
      <c r="A211" s="1" t="s">
        <v>25</v>
      </c>
      <c r="B211" s="1">
        <v>147.0</v>
      </c>
      <c r="C211" s="1" t="s">
        <v>272</v>
      </c>
      <c r="D211" s="1" t="s">
        <v>273</v>
      </c>
      <c r="G211" s="1" t="s">
        <v>161</v>
      </c>
      <c r="K211" s="1" t="s">
        <v>24</v>
      </c>
      <c r="N211" s="1">
        <v>12.0</v>
      </c>
      <c r="O211" s="1">
        <v>16.0</v>
      </c>
      <c r="P211" s="1">
        <v>9.0</v>
      </c>
      <c r="Q211" s="1">
        <v>501.59</v>
      </c>
      <c r="R211" s="1">
        <v>0.09</v>
      </c>
      <c r="T211" s="3">
        <v>11.56</v>
      </c>
    </row>
    <row r="212" ht="15.75" customHeight="1">
      <c r="A212" s="1" t="s">
        <v>25</v>
      </c>
      <c r="B212" s="1">
        <v>226.0</v>
      </c>
      <c r="C212" s="1" t="s">
        <v>274</v>
      </c>
      <c r="D212" s="1" t="s">
        <v>273</v>
      </c>
      <c r="G212" s="1" t="s">
        <v>161</v>
      </c>
      <c r="K212" s="1" t="s">
        <v>24</v>
      </c>
      <c r="N212" s="1">
        <v>3.0</v>
      </c>
      <c r="O212" s="1">
        <v>3.0</v>
      </c>
      <c r="P212" s="1">
        <v>3.0</v>
      </c>
      <c r="Q212" s="1">
        <v>100.08</v>
      </c>
      <c r="R212" s="1">
        <v>0.02</v>
      </c>
      <c r="T212" s="3">
        <v>11.56</v>
      </c>
    </row>
    <row r="213" ht="15.75" customHeight="1">
      <c r="A213" s="1" t="s">
        <v>25</v>
      </c>
      <c r="B213" s="1">
        <v>123.0</v>
      </c>
      <c r="C213" s="1" t="s">
        <v>274</v>
      </c>
      <c r="D213" s="1" t="s">
        <v>273</v>
      </c>
      <c r="G213" s="1" t="s">
        <v>275</v>
      </c>
      <c r="K213" s="1" t="s">
        <v>24</v>
      </c>
      <c r="N213" s="1">
        <v>23.0</v>
      </c>
      <c r="O213" s="1">
        <v>23.0</v>
      </c>
      <c r="P213" s="1">
        <v>16.0</v>
      </c>
      <c r="Q213" s="1">
        <v>722.25</v>
      </c>
      <c r="R213" s="1">
        <v>0.13</v>
      </c>
      <c r="T213" s="3">
        <v>11.56</v>
      </c>
    </row>
    <row r="214" ht="15.75" customHeight="1">
      <c r="A214" s="1" t="s">
        <v>25</v>
      </c>
      <c r="B214" s="1">
        <v>125.0</v>
      </c>
      <c r="C214" s="1" t="s">
        <v>274</v>
      </c>
      <c r="D214" s="1" t="s">
        <v>273</v>
      </c>
      <c r="G214" s="1" t="s">
        <v>276</v>
      </c>
      <c r="K214" s="1" t="s">
        <v>24</v>
      </c>
      <c r="N214" s="1">
        <v>19.0</v>
      </c>
      <c r="O214" s="1">
        <v>21.0</v>
      </c>
      <c r="P214" s="1">
        <v>19.0</v>
      </c>
      <c r="Q214" s="1">
        <v>697.95</v>
      </c>
      <c r="R214" s="1">
        <v>0.12</v>
      </c>
      <c r="T214" s="3">
        <v>11.56</v>
      </c>
    </row>
    <row r="215" ht="15.75" customHeight="1">
      <c r="A215" s="1" t="s">
        <v>25</v>
      </c>
      <c r="B215" s="1">
        <v>200.0</v>
      </c>
      <c r="C215" s="1" t="s">
        <v>272</v>
      </c>
      <c r="D215" s="1" t="s">
        <v>273</v>
      </c>
      <c r="G215" s="1" t="s">
        <v>276</v>
      </c>
      <c r="K215" s="1" t="s">
        <v>24</v>
      </c>
      <c r="N215" s="1">
        <v>5.0</v>
      </c>
      <c r="O215" s="1">
        <v>5.0</v>
      </c>
      <c r="P215" s="1">
        <v>5.0</v>
      </c>
      <c r="Q215" s="1">
        <v>165.5</v>
      </c>
      <c r="R215" s="1">
        <v>0.03</v>
      </c>
      <c r="T215" s="3">
        <v>11.56</v>
      </c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sortState ref="A1:Z1000">
      <sortCondition ref="D1:D1000"/>
      <sortCondition ref="G1:G1000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13.43"/>
    <col customWidth="1" min="3" max="3" width="23.0"/>
    <col customWidth="1" min="4" max="4" width="39.43"/>
    <col customWidth="1" min="5" max="5" width="41.14"/>
    <col customWidth="1" min="6" max="6" width="17.29"/>
    <col customWidth="1" min="7" max="7" width="54.86"/>
    <col customWidth="1" min="8" max="8" width="6.43"/>
    <col customWidth="1" min="9" max="9" width="9.43"/>
    <col customWidth="1" min="10" max="10" width="8.71"/>
    <col customWidth="1" min="11" max="11" width="17.86"/>
    <col customWidth="1" min="12" max="12" width="25.57"/>
    <col customWidth="1" min="13" max="13" width="24.14"/>
    <col customWidth="1" min="14" max="14" width="10.43"/>
    <col customWidth="1" min="15" max="15" width="10.57"/>
    <col customWidth="1" min="16" max="16" width="17.71"/>
    <col customWidth="1" min="17" max="17" width="17.86"/>
    <col customWidth="1" min="18" max="18" width="21.14"/>
    <col customWidth="1" min="19" max="19" width="18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32</v>
      </c>
      <c r="B2" s="1">
        <v>1.0</v>
      </c>
      <c r="C2" s="1" t="s">
        <v>86</v>
      </c>
      <c r="D2" s="1" t="s">
        <v>87</v>
      </c>
      <c r="G2" s="1" t="s">
        <v>107</v>
      </c>
      <c r="K2" s="1" t="s">
        <v>24</v>
      </c>
      <c r="N2" s="1">
        <v>654.0</v>
      </c>
      <c r="O2" s="1">
        <v>763.0</v>
      </c>
      <c r="P2" s="1">
        <v>532.0</v>
      </c>
      <c r="Q2" s="1">
        <v>45811.23</v>
      </c>
      <c r="R2" s="1">
        <v>7.98</v>
      </c>
    </row>
    <row r="3">
      <c r="A3" s="1" t="s">
        <v>277</v>
      </c>
      <c r="B3" s="1">
        <v>2.0</v>
      </c>
      <c r="C3" s="1" t="s">
        <v>278</v>
      </c>
      <c r="D3" s="1" t="s">
        <v>165</v>
      </c>
      <c r="F3" s="1" t="s">
        <v>279</v>
      </c>
      <c r="G3" s="1" t="s">
        <v>168</v>
      </c>
      <c r="J3" s="1">
        <v>18.16</v>
      </c>
      <c r="K3" s="1" t="s">
        <v>280</v>
      </c>
      <c r="N3" s="1">
        <v>336.0</v>
      </c>
      <c r="O3" s="1">
        <v>380.0</v>
      </c>
      <c r="P3" s="1">
        <v>275.0</v>
      </c>
      <c r="Q3" s="1">
        <v>33209.52</v>
      </c>
      <c r="R3" s="1">
        <v>5.79</v>
      </c>
    </row>
    <row r="4">
      <c r="A4" s="1" t="s">
        <v>32</v>
      </c>
      <c r="B4" s="1">
        <v>3.0</v>
      </c>
      <c r="C4" s="1" t="s">
        <v>89</v>
      </c>
      <c r="D4" s="1" t="s">
        <v>87</v>
      </c>
      <c r="G4" s="1" t="s">
        <v>108</v>
      </c>
      <c r="K4" s="1" t="s">
        <v>24</v>
      </c>
      <c r="N4" s="1">
        <v>425.0</v>
      </c>
      <c r="O4" s="1">
        <v>495.0</v>
      </c>
      <c r="P4" s="1">
        <v>362.0</v>
      </c>
      <c r="Q4" s="1">
        <v>28903.93</v>
      </c>
      <c r="R4" s="1">
        <v>5.04</v>
      </c>
    </row>
    <row r="5">
      <c r="A5" s="1" t="s">
        <v>277</v>
      </c>
      <c r="B5" s="1">
        <v>4.0</v>
      </c>
      <c r="C5" s="1" t="s">
        <v>281</v>
      </c>
      <c r="D5" s="1" t="s">
        <v>87</v>
      </c>
      <c r="E5" s="1" t="s">
        <v>282</v>
      </c>
      <c r="F5" s="1" t="s">
        <v>283</v>
      </c>
      <c r="G5" s="1" t="s">
        <v>88</v>
      </c>
      <c r="H5" s="1" t="s">
        <v>284</v>
      </c>
      <c r="J5" s="1">
        <v>18.39</v>
      </c>
      <c r="K5" s="1" t="s">
        <v>280</v>
      </c>
      <c r="N5" s="1">
        <v>273.0</v>
      </c>
      <c r="O5" s="1">
        <v>299.0</v>
      </c>
      <c r="P5" s="1">
        <v>237.0</v>
      </c>
      <c r="Q5" s="1">
        <v>27105.88</v>
      </c>
      <c r="R5" s="1">
        <v>4.72</v>
      </c>
    </row>
    <row r="6">
      <c r="A6" s="1" t="s">
        <v>277</v>
      </c>
      <c r="B6" s="1">
        <v>5.0</v>
      </c>
      <c r="C6" s="1" t="s">
        <v>285</v>
      </c>
      <c r="D6" s="1" t="s">
        <v>87</v>
      </c>
      <c r="F6" s="1" t="s">
        <v>286</v>
      </c>
      <c r="G6" s="1" t="s">
        <v>90</v>
      </c>
      <c r="J6" s="1">
        <v>18.39</v>
      </c>
      <c r="K6" s="1" t="s">
        <v>280</v>
      </c>
      <c r="N6" s="1">
        <v>244.0</v>
      </c>
      <c r="O6" s="1">
        <v>265.0</v>
      </c>
      <c r="P6" s="1">
        <v>207.0</v>
      </c>
      <c r="Q6" s="1">
        <v>23701.77</v>
      </c>
      <c r="R6" s="1">
        <v>4.13</v>
      </c>
    </row>
    <row r="7">
      <c r="A7" s="1" t="s">
        <v>277</v>
      </c>
      <c r="B7" s="1">
        <v>6.0</v>
      </c>
      <c r="C7" s="1" t="s">
        <v>287</v>
      </c>
      <c r="D7" s="1" t="s">
        <v>165</v>
      </c>
      <c r="E7" s="1" t="s">
        <v>288</v>
      </c>
      <c r="F7" s="1" t="s">
        <v>289</v>
      </c>
      <c r="G7" s="1" t="s">
        <v>166</v>
      </c>
      <c r="H7" s="1" t="s">
        <v>284</v>
      </c>
      <c r="J7" s="1">
        <v>17.65</v>
      </c>
      <c r="K7" s="1" t="s">
        <v>280</v>
      </c>
      <c r="N7" s="1">
        <v>259.0</v>
      </c>
      <c r="O7" s="1">
        <v>289.0</v>
      </c>
      <c r="P7" s="1">
        <v>205.0</v>
      </c>
      <c r="Q7" s="1">
        <v>20887.74</v>
      </c>
      <c r="R7" s="1">
        <v>3.64</v>
      </c>
    </row>
    <row r="8">
      <c r="A8" s="1" t="s">
        <v>32</v>
      </c>
      <c r="B8" s="1">
        <v>7.0</v>
      </c>
      <c r="C8" s="1" t="s">
        <v>167</v>
      </c>
      <c r="D8" s="1" t="s">
        <v>165</v>
      </c>
      <c r="G8" s="1" t="s">
        <v>173</v>
      </c>
      <c r="K8" s="1" t="s">
        <v>24</v>
      </c>
      <c r="N8" s="1">
        <v>304.0</v>
      </c>
      <c r="O8" s="1">
        <v>361.0</v>
      </c>
      <c r="P8" s="1">
        <v>255.0</v>
      </c>
      <c r="Q8" s="1">
        <v>19307.73</v>
      </c>
      <c r="R8" s="1">
        <v>3.36</v>
      </c>
    </row>
    <row r="9">
      <c r="A9" s="1" t="s">
        <v>277</v>
      </c>
      <c r="B9" s="1">
        <v>8.0</v>
      </c>
      <c r="C9" s="1" t="s">
        <v>290</v>
      </c>
      <c r="D9" s="1" t="s">
        <v>209</v>
      </c>
      <c r="E9" s="1" t="s">
        <v>291</v>
      </c>
      <c r="F9" s="1" t="s">
        <v>292</v>
      </c>
      <c r="G9" s="1" t="s">
        <v>210</v>
      </c>
      <c r="H9" s="1" t="s">
        <v>284</v>
      </c>
      <c r="J9" s="1">
        <v>5.07</v>
      </c>
      <c r="K9" s="1" t="s">
        <v>280</v>
      </c>
      <c r="N9" s="1">
        <v>234.0</v>
      </c>
      <c r="O9" s="1">
        <v>267.0</v>
      </c>
      <c r="P9" s="1">
        <v>192.0</v>
      </c>
      <c r="Q9" s="1">
        <v>11524.66</v>
      </c>
      <c r="R9" s="1">
        <v>2.01</v>
      </c>
    </row>
    <row r="10">
      <c r="A10" s="1" t="s">
        <v>277</v>
      </c>
      <c r="B10" s="1">
        <v>9.0</v>
      </c>
      <c r="C10" s="1" t="s">
        <v>293</v>
      </c>
      <c r="D10" s="1" t="s">
        <v>261</v>
      </c>
      <c r="E10" s="1" t="s">
        <v>294</v>
      </c>
      <c r="F10" s="1" t="s">
        <v>295</v>
      </c>
      <c r="G10" s="1" t="s">
        <v>262</v>
      </c>
      <c r="H10" s="1" t="s">
        <v>284</v>
      </c>
      <c r="J10" s="1">
        <v>4.34</v>
      </c>
      <c r="K10" s="1" t="s">
        <v>280</v>
      </c>
      <c r="N10" s="1">
        <v>120.0</v>
      </c>
      <c r="O10" s="1">
        <v>156.0</v>
      </c>
      <c r="P10" s="1">
        <v>99.0</v>
      </c>
      <c r="Q10" s="1">
        <v>10465.02</v>
      </c>
      <c r="R10" s="1">
        <v>1.82</v>
      </c>
    </row>
    <row r="11">
      <c r="A11" s="1" t="s">
        <v>277</v>
      </c>
      <c r="B11" s="1">
        <v>10.0</v>
      </c>
      <c r="C11" s="1" t="s">
        <v>296</v>
      </c>
      <c r="D11" s="1" t="s">
        <v>131</v>
      </c>
      <c r="E11" s="1" t="s">
        <v>297</v>
      </c>
      <c r="F11" s="1" t="s">
        <v>298</v>
      </c>
      <c r="G11" s="1" t="s">
        <v>132</v>
      </c>
      <c r="H11" s="1" t="s">
        <v>284</v>
      </c>
      <c r="J11" s="1">
        <v>11.86</v>
      </c>
      <c r="K11" s="1" t="s">
        <v>280</v>
      </c>
      <c r="N11" s="1">
        <v>115.0</v>
      </c>
      <c r="O11" s="1">
        <v>153.0</v>
      </c>
      <c r="P11" s="1">
        <v>92.0</v>
      </c>
      <c r="Q11" s="1">
        <v>10269.25</v>
      </c>
      <c r="R11" s="1">
        <v>1.79</v>
      </c>
    </row>
    <row r="12">
      <c r="A12" s="1" t="s">
        <v>32</v>
      </c>
      <c r="B12" s="1">
        <v>11.0</v>
      </c>
      <c r="C12" s="1" t="s">
        <v>21</v>
      </c>
      <c r="D12" s="1" t="s">
        <v>22</v>
      </c>
      <c r="G12" s="1" t="s">
        <v>33</v>
      </c>
      <c r="K12" s="1" t="s">
        <v>24</v>
      </c>
      <c r="N12" s="1">
        <v>152.0</v>
      </c>
      <c r="O12" s="1">
        <v>196.0</v>
      </c>
      <c r="P12" s="1">
        <v>119.0</v>
      </c>
      <c r="Q12" s="1">
        <v>10043.96</v>
      </c>
      <c r="R12" s="1">
        <v>1.75</v>
      </c>
    </row>
    <row r="13">
      <c r="A13" s="1" t="s">
        <v>32</v>
      </c>
      <c r="B13" s="1">
        <v>12.0</v>
      </c>
      <c r="C13" s="1" t="s">
        <v>86</v>
      </c>
      <c r="D13" s="1" t="s">
        <v>87</v>
      </c>
      <c r="G13" s="1" t="s">
        <v>88</v>
      </c>
      <c r="K13" s="1" t="s">
        <v>24</v>
      </c>
      <c r="N13" s="1">
        <v>112.0</v>
      </c>
      <c r="O13" s="1">
        <v>118.0</v>
      </c>
      <c r="P13" s="1">
        <v>94.0</v>
      </c>
      <c r="Q13" s="1">
        <v>9284.11</v>
      </c>
      <c r="R13" s="1">
        <v>1.62</v>
      </c>
    </row>
    <row r="14">
      <c r="A14" s="1" t="s">
        <v>32</v>
      </c>
      <c r="B14" s="1">
        <v>13.0</v>
      </c>
      <c r="C14" s="1" t="s">
        <v>167</v>
      </c>
      <c r="D14" s="1" t="s">
        <v>165</v>
      </c>
      <c r="G14" s="1" t="s">
        <v>168</v>
      </c>
      <c r="K14" s="1" t="s">
        <v>24</v>
      </c>
      <c r="N14" s="1">
        <v>122.0</v>
      </c>
      <c r="O14" s="1">
        <v>127.0</v>
      </c>
      <c r="P14" s="1">
        <v>100.0</v>
      </c>
      <c r="Q14" s="1">
        <v>8327.43</v>
      </c>
      <c r="R14" s="1">
        <v>1.45</v>
      </c>
    </row>
    <row r="15">
      <c r="A15" s="1" t="s">
        <v>32</v>
      </c>
      <c r="B15" s="1">
        <v>14.0</v>
      </c>
      <c r="C15" s="1" t="s">
        <v>225</v>
      </c>
      <c r="D15" s="1" t="s">
        <v>226</v>
      </c>
      <c r="G15" s="1" t="s">
        <v>227</v>
      </c>
      <c r="K15" s="1" t="s">
        <v>24</v>
      </c>
      <c r="N15" s="1">
        <v>167.0</v>
      </c>
      <c r="O15" s="1">
        <v>278.0</v>
      </c>
      <c r="P15" s="1">
        <v>123.0</v>
      </c>
      <c r="Q15" s="1">
        <v>7805.8</v>
      </c>
      <c r="R15" s="1">
        <v>1.36</v>
      </c>
    </row>
    <row r="16">
      <c r="A16" s="1" t="s">
        <v>277</v>
      </c>
      <c r="B16" s="1">
        <v>15.0</v>
      </c>
      <c r="C16" s="1" t="s">
        <v>299</v>
      </c>
      <c r="D16" s="1" t="s">
        <v>300</v>
      </c>
      <c r="E16" s="1" t="s">
        <v>301</v>
      </c>
      <c r="F16" s="1" t="s">
        <v>302</v>
      </c>
      <c r="G16" s="1" t="s">
        <v>303</v>
      </c>
      <c r="H16" s="1" t="s">
        <v>284</v>
      </c>
      <c r="J16" s="1">
        <v>17.65</v>
      </c>
      <c r="K16" s="1" t="s">
        <v>280</v>
      </c>
      <c r="N16" s="1">
        <v>85.0</v>
      </c>
      <c r="O16" s="1">
        <v>133.0</v>
      </c>
      <c r="P16" s="1">
        <v>85.0</v>
      </c>
      <c r="Q16" s="1">
        <v>7758.48</v>
      </c>
      <c r="R16" s="1">
        <v>1.35</v>
      </c>
    </row>
    <row r="17">
      <c r="A17" s="1" t="s">
        <v>32</v>
      </c>
      <c r="B17" s="1">
        <v>16.0</v>
      </c>
      <c r="C17" s="1" t="s">
        <v>28</v>
      </c>
      <c r="D17" s="1" t="s">
        <v>22</v>
      </c>
      <c r="G17" s="1" t="s">
        <v>43</v>
      </c>
      <c r="K17" s="1" t="s">
        <v>24</v>
      </c>
      <c r="N17" s="1">
        <v>97.0</v>
      </c>
      <c r="O17" s="1">
        <v>139.0</v>
      </c>
      <c r="P17" s="1">
        <v>81.0</v>
      </c>
      <c r="Q17" s="1">
        <v>7346.69</v>
      </c>
      <c r="R17" s="1">
        <v>1.28</v>
      </c>
    </row>
    <row r="18">
      <c r="A18" s="1" t="s">
        <v>32</v>
      </c>
      <c r="B18" s="1">
        <v>17.0</v>
      </c>
      <c r="C18" s="1" t="s">
        <v>232</v>
      </c>
      <c r="D18" s="1" t="s">
        <v>226</v>
      </c>
      <c r="G18" s="1" t="s">
        <v>233</v>
      </c>
      <c r="K18" s="1" t="s">
        <v>24</v>
      </c>
      <c r="N18" s="1">
        <v>140.0</v>
      </c>
      <c r="O18" s="1">
        <v>241.0</v>
      </c>
      <c r="P18" s="1">
        <v>90.0</v>
      </c>
      <c r="Q18" s="1">
        <v>7150.64</v>
      </c>
      <c r="R18" s="1">
        <v>1.25</v>
      </c>
    </row>
    <row r="19">
      <c r="A19" s="1" t="s">
        <v>32</v>
      </c>
      <c r="B19" s="1">
        <v>18.0</v>
      </c>
      <c r="C19" s="1" t="s">
        <v>247</v>
      </c>
      <c r="D19" s="1" t="s">
        <v>243</v>
      </c>
      <c r="G19" s="1" t="s">
        <v>43</v>
      </c>
      <c r="K19" s="1" t="s">
        <v>24</v>
      </c>
      <c r="N19" s="1">
        <v>86.0</v>
      </c>
      <c r="O19" s="1">
        <v>106.0</v>
      </c>
      <c r="P19" s="1">
        <v>55.0</v>
      </c>
      <c r="Q19" s="1">
        <v>6927.81</v>
      </c>
      <c r="R19" s="1">
        <v>1.21</v>
      </c>
    </row>
    <row r="20">
      <c r="A20" s="1" t="s">
        <v>32</v>
      </c>
      <c r="B20" s="1">
        <v>19.0</v>
      </c>
      <c r="C20" s="1" t="s">
        <v>130</v>
      </c>
      <c r="D20" s="1" t="s">
        <v>131</v>
      </c>
      <c r="G20" s="1" t="s">
        <v>140</v>
      </c>
      <c r="K20" s="1" t="s">
        <v>24</v>
      </c>
      <c r="N20" s="1">
        <v>143.0</v>
      </c>
      <c r="O20" s="1">
        <v>170.0</v>
      </c>
      <c r="P20" s="1">
        <v>115.0</v>
      </c>
      <c r="Q20" s="1">
        <v>6538.2</v>
      </c>
      <c r="R20" s="1">
        <v>1.14</v>
      </c>
    </row>
    <row r="21" ht="15.75" customHeight="1">
      <c r="A21" s="1" t="s">
        <v>32</v>
      </c>
      <c r="B21" s="1">
        <v>20.0</v>
      </c>
      <c r="C21" s="1" t="s">
        <v>138</v>
      </c>
      <c r="D21" s="1" t="s">
        <v>131</v>
      </c>
      <c r="G21" s="1" t="s">
        <v>139</v>
      </c>
      <c r="K21" s="1" t="s">
        <v>24</v>
      </c>
      <c r="N21" s="1">
        <v>132.0</v>
      </c>
      <c r="O21" s="1">
        <v>204.0</v>
      </c>
      <c r="P21" s="1">
        <v>102.0</v>
      </c>
      <c r="Q21" s="1">
        <v>6485.02</v>
      </c>
      <c r="R21" s="1">
        <v>1.13</v>
      </c>
    </row>
    <row r="22" ht="15.75" customHeight="1">
      <c r="A22" s="1" t="s">
        <v>20</v>
      </c>
      <c r="B22" s="1">
        <v>21.0</v>
      </c>
      <c r="C22" s="1" t="s">
        <v>130</v>
      </c>
      <c r="D22" s="1" t="s">
        <v>131</v>
      </c>
      <c r="G22" s="1" t="s">
        <v>141</v>
      </c>
      <c r="K22" s="1" t="s">
        <v>24</v>
      </c>
      <c r="N22" s="1">
        <v>115.0</v>
      </c>
      <c r="O22" s="1">
        <v>209.0</v>
      </c>
      <c r="P22" s="1">
        <v>75.0</v>
      </c>
      <c r="Q22" s="1">
        <v>6037.54</v>
      </c>
      <c r="R22" s="1">
        <v>1.05</v>
      </c>
    </row>
    <row r="23" ht="15.75" customHeight="1">
      <c r="A23" s="1" t="s">
        <v>20</v>
      </c>
      <c r="B23" s="1">
        <v>22.0</v>
      </c>
      <c r="C23" s="1" t="s">
        <v>86</v>
      </c>
      <c r="D23" s="1" t="s">
        <v>87</v>
      </c>
      <c r="G23" s="1" t="s">
        <v>109</v>
      </c>
      <c r="K23" s="1" t="s">
        <v>24</v>
      </c>
      <c r="N23" s="1">
        <v>86.0</v>
      </c>
      <c r="O23" s="1">
        <v>88.0</v>
      </c>
      <c r="P23" s="1">
        <v>74.0</v>
      </c>
      <c r="Q23" s="1">
        <v>5874.76</v>
      </c>
      <c r="R23" s="1">
        <v>1.02</v>
      </c>
    </row>
    <row r="24" ht="15.75" customHeight="1">
      <c r="A24" s="1" t="s">
        <v>20</v>
      </c>
      <c r="B24" s="1">
        <v>23.0</v>
      </c>
      <c r="C24" s="1" t="s">
        <v>260</v>
      </c>
      <c r="D24" s="1" t="s">
        <v>261</v>
      </c>
      <c r="G24" s="1" t="s">
        <v>43</v>
      </c>
      <c r="K24" s="1" t="s">
        <v>24</v>
      </c>
      <c r="N24" s="1">
        <v>152.0</v>
      </c>
      <c r="O24" s="1">
        <v>188.0</v>
      </c>
      <c r="P24" s="1">
        <v>118.0</v>
      </c>
      <c r="Q24" s="1">
        <v>5812.69</v>
      </c>
      <c r="R24" s="1">
        <v>1.01</v>
      </c>
    </row>
    <row r="25" ht="15.75" customHeight="1">
      <c r="A25" s="1" t="s">
        <v>20</v>
      </c>
      <c r="B25" s="1">
        <v>24.0</v>
      </c>
      <c r="C25" s="1" t="s">
        <v>89</v>
      </c>
      <c r="D25" s="1" t="s">
        <v>87</v>
      </c>
      <c r="G25" s="1" t="s">
        <v>90</v>
      </c>
      <c r="K25" s="1" t="s">
        <v>24</v>
      </c>
      <c r="N25" s="1">
        <v>79.0</v>
      </c>
      <c r="O25" s="1">
        <v>85.0</v>
      </c>
      <c r="P25" s="1">
        <v>64.0</v>
      </c>
      <c r="Q25" s="1">
        <v>5776.14</v>
      </c>
      <c r="R25" s="1">
        <v>1.01</v>
      </c>
    </row>
    <row r="26" ht="15.75" customHeight="1">
      <c r="A26" s="1" t="s">
        <v>20</v>
      </c>
      <c r="B26" s="1">
        <v>25.0</v>
      </c>
      <c r="C26" s="1" t="s">
        <v>167</v>
      </c>
      <c r="D26" s="1" t="s">
        <v>165</v>
      </c>
      <c r="G26" s="1" t="s">
        <v>171</v>
      </c>
      <c r="K26" s="1" t="s">
        <v>24</v>
      </c>
      <c r="N26" s="1">
        <v>108.0</v>
      </c>
      <c r="O26" s="1">
        <v>113.0</v>
      </c>
      <c r="P26" s="1">
        <v>96.0</v>
      </c>
      <c r="Q26" s="1">
        <v>5578.07</v>
      </c>
      <c r="R26" s="1">
        <v>0.97</v>
      </c>
    </row>
    <row r="27" ht="15.75" customHeight="1">
      <c r="A27" s="1" t="s">
        <v>277</v>
      </c>
      <c r="B27" s="1">
        <v>26.0</v>
      </c>
      <c r="C27" s="1" t="s">
        <v>304</v>
      </c>
      <c r="D27" s="1" t="s">
        <v>197</v>
      </c>
      <c r="E27" s="1" t="s">
        <v>305</v>
      </c>
      <c r="F27" s="1" t="s">
        <v>306</v>
      </c>
      <c r="G27" s="1" t="s">
        <v>198</v>
      </c>
      <c r="H27" s="1" t="s">
        <v>284</v>
      </c>
      <c r="J27" s="1">
        <v>1.58</v>
      </c>
      <c r="K27" s="1" t="s">
        <v>280</v>
      </c>
      <c r="N27" s="1">
        <v>342.0</v>
      </c>
      <c r="O27" s="1">
        <v>375.0</v>
      </c>
      <c r="P27" s="1">
        <v>316.0</v>
      </c>
      <c r="Q27" s="1">
        <v>5409.79</v>
      </c>
      <c r="R27" s="1">
        <v>0.94</v>
      </c>
    </row>
    <row r="28" ht="15.75" customHeight="1">
      <c r="A28" s="1" t="s">
        <v>277</v>
      </c>
      <c r="B28" s="1">
        <v>27.0</v>
      </c>
      <c r="C28" s="1" t="s">
        <v>307</v>
      </c>
      <c r="D28" s="1" t="s">
        <v>226</v>
      </c>
      <c r="E28" s="1" t="s">
        <v>308</v>
      </c>
      <c r="F28" s="1" t="s">
        <v>309</v>
      </c>
      <c r="G28" s="1" t="s">
        <v>227</v>
      </c>
      <c r="H28" s="1" t="s">
        <v>284</v>
      </c>
      <c r="J28" s="1">
        <v>6.09</v>
      </c>
      <c r="K28" s="1" t="s">
        <v>280</v>
      </c>
      <c r="N28" s="1">
        <v>71.0</v>
      </c>
      <c r="O28" s="1">
        <v>108.0</v>
      </c>
      <c r="P28" s="1">
        <v>50.0</v>
      </c>
      <c r="Q28" s="1">
        <v>5194.82</v>
      </c>
      <c r="R28" s="1">
        <v>0.91</v>
      </c>
    </row>
    <row r="29" ht="15.75" customHeight="1">
      <c r="A29" s="1" t="s">
        <v>20</v>
      </c>
      <c r="B29" s="1">
        <v>28.0</v>
      </c>
      <c r="C29" s="1" t="s">
        <v>164</v>
      </c>
      <c r="D29" s="1" t="s">
        <v>165</v>
      </c>
      <c r="G29" s="1" t="s">
        <v>166</v>
      </c>
      <c r="K29" s="1" t="s">
        <v>24</v>
      </c>
      <c r="N29" s="1">
        <v>82.0</v>
      </c>
      <c r="O29" s="1">
        <v>84.0</v>
      </c>
      <c r="P29" s="1">
        <v>70.0</v>
      </c>
      <c r="Q29" s="1">
        <v>4978.6</v>
      </c>
      <c r="R29" s="1">
        <v>0.87</v>
      </c>
    </row>
    <row r="30" ht="15.75" customHeight="1">
      <c r="A30" s="1" t="s">
        <v>20</v>
      </c>
      <c r="B30" s="1">
        <v>29.0</v>
      </c>
      <c r="C30" s="1" t="s">
        <v>89</v>
      </c>
      <c r="D30" s="1" t="s">
        <v>87</v>
      </c>
      <c r="G30" s="1" t="s">
        <v>112</v>
      </c>
      <c r="K30" s="1" t="s">
        <v>24</v>
      </c>
      <c r="N30" s="1">
        <v>65.0</v>
      </c>
      <c r="O30" s="1">
        <v>69.0</v>
      </c>
      <c r="P30" s="1">
        <v>56.0</v>
      </c>
      <c r="Q30" s="1">
        <v>4675.6</v>
      </c>
      <c r="R30" s="1">
        <v>0.81</v>
      </c>
    </row>
    <row r="31" ht="15.75" customHeight="1">
      <c r="A31" s="1" t="s">
        <v>20</v>
      </c>
      <c r="B31" s="1">
        <v>30.0</v>
      </c>
      <c r="C31" s="1" t="s">
        <v>130</v>
      </c>
      <c r="D31" s="1" t="s">
        <v>131</v>
      </c>
      <c r="G31" s="1" t="s">
        <v>137</v>
      </c>
      <c r="K31" s="1" t="s">
        <v>24</v>
      </c>
      <c r="N31" s="1">
        <v>122.0</v>
      </c>
      <c r="O31" s="1">
        <v>157.0</v>
      </c>
      <c r="P31" s="1">
        <v>79.0</v>
      </c>
      <c r="Q31" s="1">
        <v>4654.69</v>
      </c>
      <c r="R31" s="1">
        <v>0.81</v>
      </c>
    </row>
    <row r="32" ht="15.75" customHeight="1">
      <c r="A32" s="1" t="s">
        <v>20</v>
      </c>
      <c r="B32" s="1">
        <v>31.0</v>
      </c>
      <c r="C32" s="1" t="s">
        <v>34</v>
      </c>
      <c r="D32" s="1" t="s">
        <v>22</v>
      </c>
      <c r="G32" s="1" t="s">
        <v>52</v>
      </c>
      <c r="K32" s="1" t="s">
        <v>24</v>
      </c>
      <c r="N32" s="1">
        <v>75.0</v>
      </c>
      <c r="O32" s="1">
        <v>89.0</v>
      </c>
      <c r="P32" s="1">
        <v>66.0</v>
      </c>
      <c r="Q32" s="1">
        <v>4606.78</v>
      </c>
      <c r="R32" s="1">
        <v>0.8</v>
      </c>
    </row>
    <row r="33" ht="15.75" customHeight="1">
      <c r="A33" s="1" t="s">
        <v>20</v>
      </c>
      <c r="B33" s="1">
        <v>32.0</v>
      </c>
      <c r="C33" s="1" t="s">
        <v>242</v>
      </c>
      <c r="D33" s="1" t="s">
        <v>243</v>
      </c>
      <c r="G33" s="1" t="s">
        <v>33</v>
      </c>
      <c r="K33" s="1" t="s">
        <v>24</v>
      </c>
      <c r="N33" s="1">
        <v>53.0</v>
      </c>
      <c r="O33" s="1">
        <v>69.0</v>
      </c>
      <c r="P33" s="1">
        <v>39.0</v>
      </c>
      <c r="Q33" s="1">
        <v>4349.54</v>
      </c>
      <c r="R33" s="1">
        <v>0.76</v>
      </c>
    </row>
    <row r="34" ht="15.75" customHeight="1">
      <c r="A34" s="1" t="s">
        <v>20</v>
      </c>
      <c r="B34" s="1">
        <v>33.0</v>
      </c>
      <c r="C34" s="1" t="s">
        <v>196</v>
      </c>
      <c r="D34" s="1" t="s">
        <v>197</v>
      </c>
      <c r="G34" s="1" t="s">
        <v>198</v>
      </c>
      <c r="K34" s="1" t="s">
        <v>24</v>
      </c>
      <c r="N34" s="1">
        <v>479.0</v>
      </c>
      <c r="O34" s="1">
        <v>489.0</v>
      </c>
      <c r="P34" s="1">
        <v>451.0</v>
      </c>
      <c r="Q34" s="1">
        <v>4226.2</v>
      </c>
      <c r="R34" s="1">
        <v>0.74</v>
      </c>
    </row>
    <row r="35" ht="15.75" customHeight="1">
      <c r="A35" s="1" t="s">
        <v>20</v>
      </c>
      <c r="B35" s="1">
        <v>34.0</v>
      </c>
      <c r="C35" s="1" t="s">
        <v>21</v>
      </c>
      <c r="D35" s="1" t="s">
        <v>22</v>
      </c>
      <c r="G35" s="1" t="s">
        <v>23</v>
      </c>
      <c r="K35" s="1" t="s">
        <v>24</v>
      </c>
      <c r="N35" s="1">
        <v>81.0</v>
      </c>
      <c r="O35" s="1">
        <v>87.0</v>
      </c>
      <c r="P35" s="1">
        <v>46.0</v>
      </c>
      <c r="Q35" s="1">
        <v>4131.64</v>
      </c>
      <c r="R35" s="1">
        <v>0.72</v>
      </c>
    </row>
    <row r="36" ht="15.75" customHeight="1">
      <c r="A36" s="1" t="s">
        <v>20</v>
      </c>
      <c r="B36" s="1">
        <v>35.0</v>
      </c>
      <c r="C36" s="1" t="s">
        <v>26</v>
      </c>
      <c r="D36" s="1" t="s">
        <v>22</v>
      </c>
      <c r="G36" s="1" t="s">
        <v>41</v>
      </c>
      <c r="K36" s="1" t="s">
        <v>24</v>
      </c>
      <c r="N36" s="1">
        <v>71.0</v>
      </c>
      <c r="O36" s="1">
        <v>77.0</v>
      </c>
      <c r="P36" s="1">
        <v>64.0</v>
      </c>
      <c r="Q36" s="1">
        <v>4009.19</v>
      </c>
      <c r="R36" s="1">
        <v>0.7</v>
      </c>
    </row>
    <row r="37" ht="15.75" customHeight="1">
      <c r="A37" s="1" t="s">
        <v>20</v>
      </c>
      <c r="B37" s="1">
        <v>36.0</v>
      </c>
      <c r="C37" s="1" t="s">
        <v>42</v>
      </c>
      <c r="D37" s="1" t="s">
        <v>22</v>
      </c>
      <c r="G37" s="1" t="s">
        <v>53</v>
      </c>
      <c r="K37" s="1" t="s">
        <v>24</v>
      </c>
      <c r="N37" s="1">
        <v>58.0</v>
      </c>
      <c r="O37" s="1">
        <v>68.0</v>
      </c>
      <c r="P37" s="1">
        <v>51.0</v>
      </c>
      <c r="Q37" s="1">
        <v>3982.95</v>
      </c>
      <c r="R37" s="1">
        <v>0.69</v>
      </c>
    </row>
    <row r="38" ht="15.75" customHeight="1">
      <c r="A38" s="1" t="s">
        <v>20</v>
      </c>
      <c r="B38" s="1">
        <v>37.0</v>
      </c>
      <c r="C38" s="1" t="s">
        <v>248</v>
      </c>
      <c r="D38" s="1" t="s">
        <v>243</v>
      </c>
      <c r="G38" s="1" t="s">
        <v>252</v>
      </c>
      <c r="K38" s="1" t="s">
        <v>24</v>
      </c>
      <c r="N38" s="1">
        <v>44.0</v>
      </c>
      <c r="O38" s="1">
        <v>58.0</v>
      </c>
      <c r="P38" s="1">
        <v>33.0</v>
      </c>
      <c r="Q38" s="1">
        <v>3716.65</v>
      </c>
      <c r="R38" s="1">
        <v>0.65</v>
      </c>
    </row>
    <row r="39" ht="15.75" customHeight="1">
      <c r="A39" s="1" t="s">
        <v>20</v>
      </c>
      <c r="B39" s="1">
        <v>38.0</v>
      </c>
      <c r="C39" s="1" t="s">
        <v>130</v>
      </c>
      <c r="D39" s="1" t="s">
        <v>131</v>
      </c>
      <c r="G39" s="1" t="s">
        <v>136</v>
      </c>
      <c r="K39" s="1" t="s">
        <v>24</v>
      </c>
      <c r="N39" s="1">
        <v>76.0</v>
      </c>
      <c r="O39" s="1">
        <v>99.0</v>
      </c>
      <c r="P39" s="1">
        <v>63.0</v>
      </c>
      <c r="Q39" s="1">
        <v>3653.49</v>
      </c>
      <c r="R39" s="1">
        <v>0.64</v>
      </c>
    </row>
    <row r="40" ht="15.75" customHeight="1">
      <c r="A40" s="1" t="s">
        <v>20</v>
      </c>
      <c r="B40" s="1">
        <v>39.0</v>
      </c>
      <c r="C40" s="1" t="s">
        <v>169</v>
      </c>
      <c r="D40" s="1" t="s">
        <v>165</v>
      </c>
      <c r="G40" s="1" t="s">
        <v>170</v>
      </c>
      <c r="K40" s="1" t="s">
        <v>24</v>
      </c>
      <c r="N40" s="1">
        <v>71.0</v>
      </c>
      <c r="O40" s="1">
        <v>75.0</v>
      </c>
      <c r="P40" s="1">
        <v>68.0</v>
      </c>
      <c r="Q40" s="1">
        <v>3539.72</v>
      </c>
      <c r="R40" s="1">
        <v>0.62</v>
      </c>
    </row>
    <row r="41" ht="15.75" customHeight="1">
      <c r="A41" s="1" t="s">
        <v>20</v>
      </c>
      <c r="B41" s="1">
        <v>40.0</v>
      </c>
      <c r="C41" s="1" t="s">
        <v>94</v>
      </c>
      <c r="D41" s="1" t="s">
        <v>87</v>
      </c>
      <c r="G41" s="1" t="s">
        <v>95</v>
      </c>
      <c r="K41" s="1" t="s">
        <v>24</v>
      </c>
      <c r="N41" s="1">
        <v>24.0</v>
      </c>
      <c r="O41" s="1">
        <v>24.0</v>
      </c>
      <c r="P41" s="1">
        <v>20.0</v>
      </c>
      <c r="Q41" s="1">
        <v>3104.52</v>
      </c>
      <c r="R41" s="1">
        <v>0.54</v>
      </c>
    </row>
    <row r="42" ht="15.75" customHeight="1">
      <c r="A42" s="1" t="s">
        <v>20</v>
      </c>
      <c r="B42" s="1">
        <v>41.0</v>
      </c>
      <c r="C42" s="1" t="s">
        <v>91</v>
      </c>
      <c r="D42" s="1" t="s">
        <v>87</v>
      </c>
      <c r="G42" s="1" t="s">
        <v>92</v>
      </c>
      <c r="K42" s="1" t="s">
        <v>24</v>
      </c>
      <c r="N42" s="1">
        <v>24.0</v>
      </c>
      <c r="O42" s="1">
        <v>24.0</v>
      </c>
      <c r="P42" s="1">
        <v>22.0</v>
      </c>
      <c r="Q42" s="1">
        <v>3063.98</v>
      </c>
      <c r="R42" s="1">
        <v>0.53</v>
      </c>
    </row>
    <row r="43" ht="15.75" customHeight="1">
      <c r="A43" s="1" t="s">
        <v>20</v>
      </c>
      <c r="B43" s="1">
        <v>42.0</v>
      </c>
      <c r="C43" s="1" t="s">
        <v>176</v>
      </c>
      <c r="D43" s="1" t="s">
        <v>165</v>
      </c>
      <c r="G43" s="1" t="s">
        <v>177</v>
      </c>
      <c r="K43" s="1" t="s">
        <v>24</v>
      </c>
      <c r="N43" s="1">
        <v>28.0</v>
      </c>
      <c r="O43" s="1">
        <v>28.0</v>
      </c>
      <c r="P43" s="1">
        <v>25.0</v>
      </c>
      <c r="Q43" s="1">
        <v>2972.42</v>
      </c>
      <c r="R43" s="1">
        <v>0.52</v>
      </c>
    </row>
    <row r="44" ht="15.75" customHeight="1">
      <c r="A44" s="1" t="s">
        <v>20</v>
      </c>
      <c r="B44" s="1">
        <v>43.0</v>
      </c>
      <c r="C44" s="1" t="s">
        <v>229</v>
      </c>
      <c r="D44" s="1" t="s">
        <v>226</v>
      </c>
      <c r="G44" s="1" t="s">
        <v>230</v>
      </c>
      <c r="K44" s="1" t="s">
        <v>24</v>
      </c>
      <c r="N44" s="1">
        <v>77.0</v>
      </c>
      <c r="O44" s="1">
        <v>107.0</v>
      </c>
      <c r="P44" s="1">
        <v>59.0</v>
      </c>
      <c r="Q44" s="1">
        <v>2937.54</v>
      </c>
      <c r="R44" s="1">
        <v>0.51</v>
      </c>
    </row>
    <row r="45" ht="15.75" customHeight="1">
      <c r="A45" s="1" t="s">
        <v>277</v>
      </c>
      <c r="B45" s="1">
        <v>44.0</v>
      </c>
      <c r="C45" s="1" t="s">
        <v>310</v>
      </c>
      <c r="D45" s="1" t="s">
        <v>157</v>
      </c>
      <c r="E45" s="1" t="s">
        <v>311</v>
      </c>
      <c r="F45" s="1" t="s">
        <v>312</v>
      </c>
      <c r="G45" s="1" t="s">
        <v>313</v>
      </c>
      <c r="H45" s="1" t="s">
        <v>284</v>
      </c>
      <c r="J45" s="1">
        <v>3.97</v>
      </c>
      <c r="K45" s="1" t="s">
        <v>280</v>
      </c>
      <c r="N45" s="1">
        <v>100.0</v>
      </c>
      <c r="O45" s="1">
        <v>110.0</v>
      </c>
      <c r="P45" s="1">
        <v>62.0</v>
      </c>
      <c r="Q45" s="1">
        <v>2875.91</v>
      </c>
      <c r="R45" s="1">
        <v>0.5</v>
      </c>
    </row>
    <row r="46" ht="15.75" customHeight="1">
      <c r="A46" s="1" t="s">
        <v>25</v>
      </c>
      <c r="B46" s="1">
        <v>45.0</v>
      </c>
      <c r="C46" s="1" t="s">
        <v>34</v>
      </c>
      <c r="D46" s="1" t="s">
        <v>22</v>
      </c>
      <c r="G46" s="1" t="s">
        <v>33</v>
      </c>
      <c r="K46" s="1" t="s">
        <v>24</v>
      </c>
      <c r="N46" s="1">
        <v>51.0</v>
      </c>
      <c r="O46" s="1">
        <v>56.0</v>
      </c>
      <c r="P46" s="1">
        <v>42.0</v>
      </c>
      <c r="Q46" s="1">
        <v>2774.44</v>
      </c>
      <c r="R46" s="1">
        <v>0.48</v>
      </c>
    </row>
    <row r="47" ht="15.75" customHeight="1">
      <c r="A47" s="1" t="s">
        <v>25</v>
      </c>
      <c r="B47" s="1">
        <v>46.0</v>
      </c>
      <c r="C47" s="1" t="s">
        <v>179</v>
      </c>
      <c r="D47" s="1" t="s">
        <v>165</v>
      </c>
      <c r="G47" s="1" t="s">
        <v>180</v>
      </c>
      <c r="K47" s="1" t="s">
        <v>24</v>
      </c>
      <c r="N47" s="1">
        <v>25.0</v>
      </c>
      <c r="O47" s="1">
        <v>25.0</v>
      </c>
      <c r="P47" s="1">
        <v>20.0</v>
      </c>
      <c r="Q47" s="1">
        <v>2749.66</v>
      </c>
      <c r="R47" s="1">
        <v>0.48</v>
      </c>
    </row>
    <row r="48" ht="15.75" customHeight="1">
      <c r="A48" s="1" t="s">
        <v>25</v>
      </c>
      <c r="B48" s="1">
        <v>47.0</v>
      </c>
      <c r="C48" s="1" t="s">
        <v>93</v>
      </c>
      <c r="D48" s="1" t="s">
        <v>87</v>
      </c>
      <c r="G48" s="1" t="s">
        <v>92</v>
      </c>
      <c r="K48" s="1" t="s">
        <v>24</v>
      </c>
      <c r="N48" s="1">
        <v>22.0</v>
      </c>
      <c r="O48" s="1">
        <v>22.0</v>
      </c>
      <c r="P48" s="1">
        <v>20.0</v>
      </c>
      <c r="Q48" s="1">
        <v>2724.9</v>
      </c>
      <c r="R48" s="1">
        <v>0.47</v>
      </c>
    </row>
    <row r="49" ht="15.75" customHeight="1">
      <c r="A49" s="1" t="s">
        <v>25</v>
      </c>
      <c r="B49" s="1">
        <v>48.0</v>
      </c>
      <c r="C49" s="1" t="s">
        <v>44</v>
      </c>
      <c r="D49" s="1" t="s">
        <v>22</v>
      </c>
      <c r="G49" s="1" t="s">
        <v>54</v>
      </c>
      <c r="K49" s="1" t="s">
        <v>24</v>
      </c>
      <c r="N49" s="1">
        <v>36.0</v>
      </c>
      <c r="O49" s="1">
        <v>45.0</v>
      </c>
      <c r="P49" s="1">
        <v>31.0</v>
      </c>
      <c r="Q49" s="1">
        <v>2709.87</v>
      </c>
      <c r="R49" s="1">
        <v>0.47</v>
      </c>
    </row>
    <row r="50" ht="15.75" customHeight="1">
      <c r="A50" s="1" t="s">
        <v>25</v>
      </c>
      <c r="B50" s="1">
        <v>49.0</v>
      </c>
      <c r="C50" s="1" t="s">
        <v>244</v>
      </c>
      <c r="D50" s="1" t="s">
        <v>243</v>
      </c>
      <c r="G50" s="1" t="s">
        <v>250</v>
      </c>
      <c r="K50" s="1" t="s">
        <v>24</v>
      </c>
      <c r="N50" s="1">
        <v>27.0</v>
      </c>
      <c r="O50" s="1">
        <v>35.0</v>
      </c>
      <c r="P50" s="1">
        <v>21.0</v>
      </c>
      <c r="Q50" s="1">
        <v>2689.34</v>
      </c>
      <c r="R50" s="1">
        <v>0.47</v>
      </c>
    </row>
    <row r="51" ht="15.75" customHeight="1">
      <c r="A51" s="1" t="s">
        <v>25</v>
      </c>
      <c r="B51" s="1">
        <v>50.0</v>
      </c>
      <c r="C51" s="1" t="s">
        <v>164</v>
      </c>
      <c r="D51" s="1" t="s">
        <v>165</v>
      </c>
      <c r="G51" s="1" t="s">
        <v>172</v>
      </c>
      <c r="K51" s="1" t="s">
        <v>24</v>
      </c>
      <c r="N51" s="1">
        <v>43.0</v>
      </c>
      <c r="O51" s="1">
        <v>46.0</v>
      </c>
      <c r="P51" s="1">
        <v>38.0</v>
      </c>
      <c r="Q51" s="1">
        <v>2552.99</v>
      </c>
      <c r="R51" s="1">
        <v>0.44</v>
      </c>
    </row>
    <row r="52" ht="15.75" customHeight="1">
      <c r="A52" s="1" t="s">
        <v>25</v>
      </c>
      <c r="B52" s="1">
        <v>51.0</v>
      </c>
      <c r="C52" s="1" t="s">
        <v>248</v>
      </c>
      <c r="D52" s="1" t="s">
        <v>243</v>
      </c>
      <c r="G52" s="1" t="s">
        <v>43</v>
      </c>
      <c r="K52" s="1" t="s">
        <v>24</v>
      </c>
      <c r="N52" s="1">
        <v>34.0</v>
      </c>
      <c r="O52" s="1">
        <v>41.0</v>
      </c>
      <c r="P52" s="1">
        <v>24.0</v>
      </c>
      <c r="Q52" s="1">
        <v>2522.78</v>
      </c>
      <c r="R52" s="1">
        <v>0.44</v>
      </c>
    </row>
    <row r="53" ht="15.75" customHeight="1">
      <c r="A53" s="1" t="s">
        <v>277</v>
      </c>
      <c r="B53" s="1">
        <v>52.0</v>
      </c>
      <c r="C53" s="1" t="s">
        <v>314</v>
      </c>
      <c r="D53" s="1" t="s">
        <v>254</v>
      </c>
      <c r="E53" s="1" t="s">
        <v>315</v>
      </c>
      <c r="F53" s="1" t="s">
        <v>316</v>
      </c>
      <c r="G53" s="1" t="s">
        <v>257</v>
      </c>
      <c r="H53" s="1" t="s">
        <v>284</v>
      </c>
      <c r="J53" s="1">
        <v>8.37</v>
      </c>
      <c r="K53" s="1" t="s">
        <v>280</v>
      </c>
      <c r="N53" s="1">
        <v>27.0</v>
      </c>
      <c r="O53" s="1">
        <v>28.0</v>
      </c>
      <c r="P53" s="1">
        <v>16.0</v>
      </c>
      <c r="Q53" s="1">
        <v>2465.88</v>
      </c>
      <c r="R53" s="1">
        <v>0.43</v>
      </c>
    </row>
    <row r="54" ht="15.75" customHeight="1">
      <c r="A54" s="1" t="s">
        <v>25</v>
      </c>
      <c r="B54" s="1">
        <v>53.0</v>
      </c>
      <c r="C54" s="1" t="s">
        <v>28</v>
      </c>
      <c r="D54" s="1" t="s">
        <v>22</v>
      </c>
      <c r="G54" s="1" t="s">
        <v>29</v>
      </c>
      <c r="K54" s="1" t="s">
        <v>24</v>
      </c>
      <c r="N54" s="1">
        <v>43.0</v>
      </c>
      <c r="O54" s="1">
        <v>50.0</v>
      </c>
      <c r="P54" s="1">
        <v>31.0</v>
      </c>
      <c r="Q54" s="1">
        <v>2400.31</v>
      </c>
      <c r="R54" s="1">
        <v>0.42</v>
      </c>
    </row>
    <row r="55" ht="15.75" customHeight="1">
      <c r="A55" s="1" t="s">
        <v>25</v>
      </c>
      <c r="B55" s="1">
        <v>54.0</v>
      </c>
      <c r="C55" s="1" t="s">
        <v>260</v>
      </c>
      <c r="D55" s="1" t="s">
        <v>261</v>
      </c>
      <c r="G55" s="1" t="s">
        <v>262</v>
      </c>
      <c r="K55" s="1" t="s">
        <v>24</v>
      </c>
      <c r="N55" s="1">
        <v>40.0</v>
      </c>
      <c r="O55" s="1">
        <v>47.0</v>
      </c>
      <c r="P55" s="1">
        <v>34.0</v>
      </c>
      <c r="Q55" s="1">
        <v>2346.72</v>
      </c>
      <c r="R55" s="1">
        <v>0.41</v>
      </c>
    </row>
    <row r="56" ht="15.75" customHeight="1">
      <c r="A56" s="1" t="s">
        <v>25</v>
      </c>
      <c r="B56" s="1">
        <v>55.0</v>
      </c>
      <c r="C56" s="1" t="s">
        <v>66</v>
      </c>
      <c r="D56" s="1" t="s">
        <v>22</v>
      </c>
      <c r="G56" s="1" t="s">
        <v>77</v>
      </c>
      <c r="K56" s="1" t="s">
        <v>24</v>
      </c>
      <c r="N56" s="1">
        <v>44.0</v>
      </c>
      <c r="O56" s="1">
        <v>70.0</v>
      </c>
      <c r="P56" s="1">
        <v>44.0</v>
      </c>
      <c r="Q56" s="1">
        <v>2320.68</v>
      </c>
      <c r="R56" s="1">
        <v>0.4</v>
      </c>
    </row>
    <row r="57" ht="15.75" customHeight="1">
      <c r="A57" s="1" t="s">
        <v>277</v>
      </c>
      <c r="B57" s="1">
        <v>56.0</v>
      </c>
      <c r="C57" s="1" t="s">
        <v>310</v>
      </c>
      <c r="D57" s="1" t="s">
        <v>157</v>
      </c>
      <c r="E57" s="1" t="s">
        <v>311</v>
      </c>
      <c r="F57" s="1" t="s">
        <v>312</v>
      </c>
      <c r="G57" s="1" t="s">
        <v>158</v>
      </c>
      <c r="H57" s="1" t="s">
        <v>284</v>
      </c>
      <c r="J57" s="1">
        <v>3.97</v>
      </c>
      <c r="K57" s="1" t="s">
        <v>280</v>
      </c>
      <c r="N57" s="1">
        <v>70.0</v>
      </c>
      <c r="O57" s="1">
        <v>83.0</v>
      </c>
      <c r="P57" s="1">
        <v>45.0</v>
      </c>
      <c r="Q57" s="1">
        <v>2302.23</v>
      </c>
      <c r="R57" s="1">
        <v>0.4</v>
      </c>
    </row>
    <row r="58" ht="15.75" customHeight="1">
      <c r="A58" s="1" t="s">
        <v>277</v>
      </c>
      <c r="B58" s="1">
        <v>57.0</v>
      </c>
      <c r="C58" s="1" t="s">
        <v>317</v>
      </c>
      <c r="D58" s="1" t="s">
        <v>226</v>
      </c>
      <c r="F58" s="1" t="s">
        <v>318</v>
      </c>
      <c r="G58" s="1" t="s">
        <v>233</v>
      </c>
      <c r="J58" s="1">
        <v>6.74</v>
      </c>
      <c r="K58" s="1" t="s">
        <v>280</v>
      </c>
      <c r="N58" s="1">
        <v>43.0</v>
      </c>
      <c r="O58" s="1">
        <v>62.0</v>
      </c>
      <c r="P58" s="1">
        <v>27.0</v>
      </c>
      <c r="Q58" s="1">
        <v>2216.12</v>
      </c>
      <c r="R58" s="1">
        <v>0.39</v>
      </c>
    </row>
    <row r="59" ht="15.75" customHeight="1">
      <c r="A59" s="1" t="s">
        <v>25</v>
      </c>
      <c r="B59" s="1">
        <v>58.0</v>
      </c>
      <c r="C59" s="1" t="s">
        <v>21</v>
      </c>
      <c r="D59" s="1" t="s">
        <v>22</v>
      </c>
      <c r="G59" s="1" t="s">
        <v>52</v>
      </c>
      <c r="K59" s="1" t="s">
        <v>24</v>
      </c>
      <c r="N59" s="1">
        <v>25.0</v>
      </c>
      <c r="O59" s="1">
        <v>37.0</v>
      </c>
      <c r="P59" s="1">
        <v>25.0</v>
      </c>
      <c r="Q59" s="1">
        <v>2201.79</v>
      </c>
      <c r="R59" s="1">
        <v>0.38</v>
      </c>
    </row>
    <row r="60" ht="15.75" customHeight="1">
      <c r="A60" s="1" t="s">
        <v>25</v>
      </c>
      <c r="B60" s="1">
        <v>59.0</v>
      </c>
      <c r="C60" s="1" t="s">
        <v>101</v>
      </c>
      <c r="D60" s="1" t="s">
        <v>87</v>
      </c>
      <c r="G60" s="1" t="s">
        <v>102</v>
      </c>
      <c r="K60" s="1" t="s">
        <v>24</v>
      </c>
      <c r="N60" s="1">
        <v>9.0</v>
      </c>
      <c r="O60" s="1">
        <v>9.0</v>
      </c>
      <c r="P60" s="1">
        <v>9.0</v>
      </c>
      <c r="Q60" s="1">
        <v>2196.38</v>
      </c>
      <c r="R60" s="1">
        <v>0.38</v>
      </c>
    </row>
    <row r="61" ht="15.75" customHeight="1">
      <c r="A61" s="1" t="s">
        <v>25</v>
      </c>
      <c r="B61" s="1">
        <v>60.0</v>
      </c>
      <c r="C61" s="1" t="s">
        <v>28</v>
      </c>
      <c r="D61" s="1" t="s">
        <v>22</v>
      </c>
      <c r="G61" s="1" t="s">
        <v>31</v>
      </c>
      <c r="K61" s="1" t="s">
        <v>24</v>
      </c>
      <c r="N61" s="1">
        <v>34.0</v>
      </c>
      <c r="O61" s="1">
        <v>39.0</v>
      </c>
      <c r="P61" s="1">
        <v>24.0</v>
      </c>
      <c r="Q61" s="1">
        <v>2183.78</v>
      </c>
      <c r="R61" s="1">
        <v>0.38</v>
      </c>
    </row>
    <row r="62" ht="15.75" customHeight="1">
      <c r="A62" s="1" t="s">
        <v>25</v>
      </c>
      <c r="B62" s="1">
        <v>61.0</v>
      </c>
      <c r="C62" s="1" t="s">
        <v>42</v>
      </c>
      <c r="D62" s="1" t="s">
        <v>22</v>
      </c>
      <c r="G62" s="1" t="s">
        <v>41</v>
      </c>
      <c r="K62" s="1" t="s">
        <v>24</v>
      </c>
      <c r="N62" s="1">
        <v>41.0</v>
      </c>
      <c r="O62" s="1">
        <v>46.0</v>
      </c>
      <c r="P62" s="1">
        <v>34.0</v>
      </c>
      <c r="Q62" s="1">
        <v>2182.24</v>
      </c>
      <c r="R62" s="1">
        <v>0.38</v>
      </c>
    </row>
    <row r="63" ht="15.75" customHeight="1">
      <c r="A63" s="1" t="s">
        <v>25</v>
      </c>
      <c r="B63" s="1">
        <v>62.0</v>
      </c>
      <c r="C63" s="1" t="s">
        <v>96</v>
      </c>
      <c r="D63" s="1" t="s">
        <v>87</v>
      </c>
      <c r="G63" s="1" t="s">
        <v>95</v>
      </c>
      <c r="K63" s="1" t="s">
        <v>24</v>
      </c>
      <c r="N63" s="1">
        <v>17.0</v>
      </c>
      <c r="O63" s="1">
        <v>17.0</v>
      </c>
      <c r="P63" s="1">
        <v>15.0</v>
      </c>
      <c r="Q63" s="1">
        <v>2169.29</v>
      </c>
      <c r="R63" s="1">
        <v>0.38</v>
      </c>
    </row>
    <row r="64" ht="15.75" customHeight="1">
      <c r="A64" s="1" t="s">
        <v>25</v>
      </c>
      <c r="B64" s="1">
        <v>63.0</v>
      </c>
      <c r="C64" s="1" t="s">
        <v>167</v>
      </c>
      <c r="D64" s="1" t="s">
        <v>165</v>
      </c>
      <c r="G64" s="1" t="s">
        <v>175</v>
      </c>
      <c r="K64" s="1" t="s">
        <v>24</v>
      </c>
      <c r="N64" s="1">
        <v>33.0</v>
      </c>
      <c r="O64" s="1">
        <v>38.0</v>
      </c>
      <c r="P64" s="1">
        <v>31.0</v>
      </c>
      <c r="Q64" s="1">
        <v>2150.9</v>
      </c>
      <c r="R64" s="1">
        <v>0.37</v>
      </c>
    </row>
    <row r="65" ht="15.75" customHeight="1">
      <c r="A65" s="1" t="s">
        <v>25</v>
      </c>
      <c r="B65" s="1">
        <v>64.0</v>
      </c>
      <c r="C65" s="1" t="s">
        <v>208</v>
      </c>
      <c r="D65" s="1" t="s">
        <v>209</v>
      </c>
      <c r="G65" s="1" t="s">
        <v>214</v>
      </c>
      <c r="K65" s="1" t="s">
        <v>24</v>
      </c>
      <c r="N65" s="1">
        <v>79.0</v>
      </c>
      <c r="O65" s="1">
        <v>87.0</v>
      </c>
      <c r="P65" s="1">
        <v>67.0</v>
      </c>
      <c r="Q65" s="1">
        <v>2098.8</v>
      </c>
      <c r="R65" s="1">
        <v>0.37</v>
      </c>
    </row>
    <row r="66" ht="15.75" customHeight="1">
      <c r="A66" s="1" t="s">
        <v>25</v>
      </c>
      <c r="B66" s="1">
        <v>65.0</v>
      </c>
      <c r="C66" s="1" t="s">
        <v>21</v>
      </c>
      <c r="D66" s="1" t="s">
        <v>22</v>
      </c>
      <c r="G66" s="1" t="s">
        <v>30</v>
      </c>
      <c r="K66" s="1" t="s">
        <v>24</v>
      </c>
      <c r="N66" s="1">
        <v>32.0</v>
      </c>
      <c r="O66" s="1">
        <v>36.0</v>
      </c>
      <c r="P66" s="1">
        <v>25.0</v>
      </c>
      <c r="Q66" s="1">
        <v>2067.08</v>
      </c>
      <c r="R66" s="1">
        <v>0.36</v>
      </c>
    </row>
    <row r="67" ht="15.75" customHeight="1">
      <c r="A67" s="1" t="s">
        <v>277</v>
      </c>
      <c r="B67" s="1">
        <v>66.0</v>
      </c>
      <c r="C67" s="1" t="s">
        <v>319</v>
      </c>
      <c r="D67" s="1" t="s">
        <v>151</v>
      </c>
      <c r="F67" s="1" t="s">
        <v>154</v>
      </c>
      <c r="G67" s="1" t="s">
        <v>155</v>
      </c>
      <c r="J67" s="1">
        <v>2.1</v>
      </c>
      <c r="K67" s="1" t="s">
        <v>280</v>
      </c>
      <c r="N67" s="1">
        <v>53.0</v>
      </c>
      <c r="O67" s="1">
        <v>74.0</v>
      </c>
      <c r="P67" s="1">
        <v>37.0</v>
      </c>
      <c r="Q67" s="1">
        <v>2064.54</v>
      </c>
      <c r="R67" s="1">
        <v>0.36</v>
      </c>
    </row>
    <row r="68" ht="15.75" customHeight="1">
      <c r="A68" s="1" t="s">
        <v>25</v>
      </c>
      <c r="B68" s="1">
        <v>67.0</v>
      </c>
      <c r="C68" s="1" t="s">
        <v>228</v>
      </c>
      <c r="D68" s="1" t="s">
        <v>226</v>
      </c>
      <c r="G68" s="1" t="s">
        <v>237</v>
      </c>
      <c r="K68" s="1" t="s">
        <v>24</v>
      </c>
      <c r="N68" s="1">
        <v>32.0</v>
      </c>
      <c r="O68" s="1">
        <v>79.0</v>
      </c>
      <c r="P68" s="1">
        <v>28.0</v>
      </c>
      <c r="Q68" s="1">
        <v>2053.93</v>
      </c>
      <c r="R68" s="1">
        <v>0.36</v>
      </c>
    </row>
    <row r="69" ht="15.75" customHeight="1">
      <c r="A69" s="1" t="s">
        <v>25</v>
      </c>
      <c r="B69" s="1">
        <v>68.0</v>
      </c>
      <c r="C69" s="1" t="s">
        <v>228</v>
      </c>
      <c r="D69" s="1" t="s">
        <v>226</v>
      </c>
      <c r="G69" s="1" t="s">
        <v>227</v>
      </c>
      <c r="K69" s="1" t="s">
        <v>24</v>
      </c>
      <c r="N69" s="1">
        <v>49.0</v>
      </c>
      <c r="O69" s="1">
        <v>72.0</v>
      </c>
      <c r="P69" s="1">
        <v>35.0</v>
      </c>
      <c r="Q69" s="1">
        <v>2027.04</v>
      </c>
      <c r="R69" s="1">
        <v>0.35</v>
      </c>
    </row>
    <row r="70" ht="15.75" customHeight="1">
      <c r="A70" s="1" t="s">
        <v>25</v>
      </c>
      <c r="B70" s="1">
        <v>69.0</v>
      </c>
      <c r="C70" s="1" t="s">
        <v>169</v>
      </c>
      <c r="D70" s="1" t="s">
        <v>165</v>
      </c>
      <c r="G70" s="1" t="s">
        <v>172</v>
      </c>
      <c r="K70" s="1" t="s">
        <v>24</v>
      </c>
      <c r="N70" s="1">
        <v>33.0</v>
      </c>
      <c r="O70" s="1">
        <v>35.0</v>
      </c>
      <c r="P70" s="1">
        <v>30.0</v>
      </c>
      <c r="Q70" s="1">
        <v>1985.27</v>
      </c>
      <c r="R70" s="1">
        <v>0.35</v>
      </c>
    </row>
    <row r="71" ht="15.75" customHeight="1">
      <c r="A71" s="1" t="s">
        <v>25</v>
      </c>
      <c r="B71" s="1">
        <v>70.0</v>
      </c>
      <c r="C71" s="1" t="s">
        <v>60</v>
      </c>
      <c r="D71" s="1" t="s">
        <v>22</v>
      </c>
      <c r="G71" s="1" t="s">
        <v>64</v>
      </c>
      <c r="K71" s="1" t="s">
        <v>24</v>
      </c>
      <c r="N71" s="1">
        <v>37.0</v>
      </c>
      <c r="O71" s="1">
        <v>51.0</v>
      </c>
      <c r="P71" s="1">
        <v>32.0</v>
      </c>
      <c r="Q71" s="1">
        <v>1980.15</v>
      </c>
      <c r="R71" s="1">
        <v>0.35</v>
      </c>
    </row>
    <row r="72" ht="15.75" customHeight="1">
      <c r="A72" s="1" t="s">
        <v>25</v>
      </c>
      <c r="B72" s="1">
        <v>71.0</v>
      </c>
      <c r="C72" s="1" t="s">
        <v>44</v>
      </c>
      <c r="D72" s="1" t="s">
        <v>22</v>
      </c>
      <c r="G72" s="1" t="s">
        <v>43</v>
      </c>
      <c r="K72" s="1" t="s">
        <v>24</v>
      </c>
      <c r="N72" s="1">
        <v>33.0</v>
      </c>
      <c r="O72" s="1">
        <v>44.0</v>
      </c>
      <c r="P72" s="1">
        <v>30.0</v>
      </c>
      <c r="Q72" s="1">
        <v>1953.93</v>
      </c>
      <c r="R72" s="1">
        <v>0.34</v>
      </c>
    </row>
    <row r="73" ht="15.75" customHeight="1">
      <c r="A73" s="1" t="s">
        <v>25</v>
      </c>
      <c r="B73" s="1">
        <v>72.0</v>
      </c>
      <c r="C73" s="1" t="s">
        <v>186</v>
      </c>
      <c r="D73" s="1" t="s">
        <v>165</v>
      </c>
      <c r="G73" s="1" t="s">
        <v>187</v>
      </c>
      <c r="K73" s="1" t="s">
        <v>24</v>
      </c>
      <c r="N73" s="1">
        <v>9.0</v>
      </c>
      <c r="O73" s="1">
        <v>9.0</v>
      </c>
      <c r="P73" s="1">
        <v>8.0</v>
      </c>
      <c r="Q73" s="1">
        <v>1890.72</v>
      </c>
      <c r="R73" s="1">
        <v>0.33</v>
      </c>
    </row>
    <row r="74" ht="15.75" customHeight="1">
      <c r="A74" s="1" t="s">
        <v>25</v>
      </c>
      <c r="B74" s="1">
        <v>73.0</v>
      </c>
      <c r="C74" s="1" t="s">
        <v>49</v>
      </c>
      <c r="D74" s="1" t="s">
        <v>22</v>
      </c>
      <c r="G74" s="1" t="s">
        <v>59</v>
      </c>
      <c r="K74" s="1" t="s">
        <v>24</v>
      </c>
      <c r="N74" s="1">
        <v>25.0</v>
      </c>
      <c r="O74" s="1">
        <v>33.0</v>
      </c>
      <c r="P74" s="1">
        <v>20.0</v>
      </c>
      <c r="Q74" s="1">
        <v>1857.48</v>
      </c>
      <c r="R74" s="1">
        <v>0.32</v>
      </c>
    </row>
    <row r="75" ht="15.75" customHeight="1">
      <c r="A75" s="1" t="s">
        <v>25</v>
      </c>
      <c r="B75" s="1">
        <v>74.0</v>
      </c>
      <c r="C75" s="1" t="s">
        <v>130</v>
      </c>
      <c r="D75" s="1" t="s">
        <v>131</v>
      </c>
      <c r="G75" s="1" t="s">
        <v>132</v>
      </c>
      <c r="K75" s="1" t="s">
        <v>24</v>
      </c>
      <c r="N75" s="1">
        <v>30.0</v>
      </c>
      <c r="O75" s="1">
        <v>34.0</v>
      </c>
      <c r="P75" s="1">
        <v>27.0</v>
      </c>
      <c r="Q75" s="1">
        <v>1737.8</v>
      </c>
      <c r="R75" s="1">
        <v>0.3</v>
      </c>
    </row>
    <row r="76" ht="15.75" customHeight="1">
      <c r="A76" s="1" t="s">
        <v>25</v>
      </c>
      <c r="B76" s="1">
        <v>75.0</v>
      </c>
      <c r="C76" s="1" t="s">
        <v>255</v>
      </c>
      <c r="D76" s="1" t="s">
        <v>254</v>
      </c>
      <c r="G76" s="1" t="s">
        <v>257</v>
      </c>
      <c r="K76" s="1" t="s">
        <v>24</v>
      </c>
      <c r="N76" s="1">
        <v>33.0</v>
      </c>
      <c r="O76" s="1">
        <v>34.0</v>
      </c>
      <c r="P76" s="1">
        <v>29.0</v>
      </c>
      <c r="Q76" s="1">
        <v>1715.94</v>
      </c>
      <c r="R76" s="1">
        <v>0.3</v>
      </c>
    </row>
    <row r="77" ht="15.75" customHeight="1">
      <c r="A77" s="1" t="s">
        <v>277</v>
      </c>
      <c r="B77" s="1">
        <v>76.0</v>
      </c>
      <c r="C77" s="1" t="s">
        <v>320</v>
      </c>
      <c r="D77" s="1" t="s">
        <v>115</v>
      </c>
      <c r="E77" s="1" t="s">
        <v>321</v>
      </c>
      <c r="F77" s="1" t="s">
        <v>322</v>
      </c>
      <c r="G77" s="1" t="s">
        <v>116</v>
      </c>
      <c r="H77" s="1" t="s">
        <v>284</v>
      </c>
      <c r="J77" s="1">
        <v>1.05</v>
      </c>
      <c r="K77" s="1" t="s">
        <v>280</v>
      </c>
      <c r="N77" s="1">
        <v>110.0</v>
      </c>
      <c r="O77" s="1">
        <v>177.0</v>
      </c>
      <c r="P77" s="1">
        <v>100.0</v>
      </c>
      <c r="Q77" s="1">
        <v>1666.14</v>
      </c>
      <c r="R77" s="1">
        <v>0.29</v>
      </c>
    </row>
    <row r="78" ht="15.75" customHeight="1">
      <c r="A78" s="1" t="s">
        <v>25</v>
      </c>
      <c r="B78" s="1">
        <v>77.0</v>
      </c>
      <c r="C78" s="1" t="s">
        <v>244</v>
      </c>
      <c r="D78" s="1" t="s">
        <v>243</v>
      </c>
      <c r="G78" s="1" t="s">
        <v>33</v>
      </c>
      <c r="K78" s="1" t="s">
        <v>24</v>
      </c>
      <c r="N78" s="1">
        <v>17.0</v>
      </c>
      <c r="O78" s="1">
        <v>24.0</v>
      </c>
      <c r="P78" s="1">
        <v>14.0</v>
      </c>
      <c r="Q78" s="1">
        <v>1659.34</v>
      </c>
      <c r="R78" s="1">
        <v>0.29</v>
      </c>
    </row>
    <row r="79" ht="15.75" customHeight="1">
      <c r="A79" s="1" t="s">
        <v>25</v>
      </c>
      <c r="B79" s="1">
        <v>78.0</v>
      </c>
      <c r="C79" s="1" t="s">
        <v>234</v>
      </c>
      <c r="D79" s="1" t="s">
        <v>226</v>
      </c>
      <c r="G79" s="1" t="s">
        <v>233</v>
      </c>
      <c r="K79" s="1" t="s">
        <v>24</v>
      </c>
      <c r="N79" s="1">
        <v>37.0</v>
      </c>
      <c r="O79" s="1">
        <v>63.0</v>
      </c>
      <c r="P79" s="1">
        <v>28.0</v>
      </c>
      <c r="Q79" s="1">
        <v>1645.65</v>
      </c>
      <c r="R79" s="1">
        <v>0.29</v>
      </c>
    </row>
    <row r="80" ht="15.75" customHeight="1">
      <c r="A80" s="1" t="s">
        <v>25</v>
      </c>
      <c r="B80" s="1">
        <v>79.0</v>
      </c>
      <c r="C80" s="1" t="s">
        <v>208</v>
      </c>
      <c r="D80" s="1" t="s">
        <v>209</v>
      </c>
      <c r="G80" s="1" t="s">
        <v>210</v>
      </c>
      <c r="K80" s="1" t="s">
        <v>24</v>
      </c>
      <c r="N80" s="1">
        <v>48.0</v>
      </c>
      <c r="O80" s="1">
        <v>49.0</v>
      </c>
      <c r="P80" s="1">
        <v>44.0</v>
      </c>
      <c r="Q80" s="1">
        <v>1607.55</v>
      </c>
      <c r="R80" s="1">
        <v>0.28</v>
      </c>
    </row>
    <row r="81" ht="15.75" customHeight="1">
      <c r="A81" s="1" t="s">
        <v>25</v>
      </c>
      <c r="B81" s="1">
        <v>80.0</v>
      </c>
      <c r="C81" s="1" t="s">
        <v>264</v>
      </c>
      <c r="D81" s="1" t="s">
        <v>261</v>
      </c>
      <c r="G81" s="1" t="s">
        <v>55</v>
      </c>
      <c r="K81" s="1" t="s">
        <v>24</v>
      </c>
      <c r="N81" s="1">
        <v>30.0</v>
      </c>
      <c r="O81" s="1">
        <v>48.0</v>
      </c>
      <c r="P81" s="1">
        <v>27.0</v>
      </c>
      <c r="Q81" s="1">
        <v>1529.08</v>
      </c>
      <c r="R81" s="1">
        <v>0.27</v>
      </c>
    </row>
    <row r="82" ht="15.75" customHeight="1">
      <c r="A82" s="1" t="s">
        <v>25</v>
      </c>
      <c r="B82" s="1">
        <v>81.0</v>
      </c>
      <c r="C82" s="1" t="s">
        <v>260</v>
      </c>
      <c r="D82" s="1" t="s">
        <v>261</v>
      </c>
      <c r="G82" s="1" t="s">
        <v>265</v>
      </c>
      <c r="K82" s="1" t="s">
        <v>24</v>
      </c>
      <c r="N82" s="1">
        <v>34.0</v>
      </c>
      <c r="O82" s="1">
        <v>44.0</v>
      </c>
      <c r="P82" s="1">
        <v>24.0</v>
      </c>
      <c r="Q82" s="1">
        <v>1510.12</v>
      </c>
      <c r="R82" s="1">
        <v>0.26</v>
      </c>
    </row>
    <row r="83" ht="15.75" customHeight="1">
      <c r="A83" s="1" t="s">
        <v>25</v>
      </c>
      <c r="B83" s="1">
        <v>82.0</v>
      </c>
      <c r="C83" s="1" t="s">
        <v>138</v>
      </c>
      <c r="D83" s="1" t="s">
        <v>131</v>
      </c>
      <c r="G83" s="1" t="s">
        <v>141</v>
      </c>
      <c r="K83" s="1" t="s">
        <v>24</v>
      </c>
      <c r="N83" s="1">
        <v>31.0</v>
      </c>
      <c r="O83" s="1">
        <v>53.0</v>
      </c>
      <c r="P83" s="1">
        <v>20.0</v>
      </c>
      <c r="Q83" s="1">
        <v>1490.97</v>
      </c>
      <c r="R83" s="1">
        <v>0.26</v>
      </c>
    </row>
    <row r="84" ht="15.75" customHeight="1">
      <c r="A84" s="1" t="s">
        <v>25</v>
      </c>
      <c r="B84" s="1">
        <v>83.0</v>
      </c>
      <c r="C84" s="1" t="s">
        <v>103</v>
      </c>
      <c r="D84" s="1" t="s">
        <v>87</v>
      </c>
      <c r="G84" s="1" t="s">
        <v>102</v>
      </c>
      <c r="K84" s="1" t="s">
        <v>24</v>
      </c>
      <c r="N84" s="1">
        <v>6.0</v>
      </c>
      <c r="O84" s="1">
        <v>6.0</v>
      </c>
      <c r="P84" s="1">
        <v>5.0</v>
      </c>
      <c r="Q84" s="1">
        <v>1477.33</v>
      </c>
      <c r="R84" s="1">
        <v>0.26</v>
      </c>
    </row>
    <row r="85" ht="15.75" customHeight="1">
      <c r="A85" s="1" t="s">
        <v>25</v>
      </c>
      <c r="B85" s="1">
        <v>84.0</v>
      </c>
      <c r="C85" s="1" t="s">
        <v>45</v>
      </c>
      <c r="D85" s="1" t="s">
        <v>22</v>
      </c>
      <c r="G85" s="1" t="s">
        <v>57</v>
      </c>
      <c r="K85" s="1" t="s">
        <v>24</v>
      </c>
      <c r="N85" s="1">
        <v>17.0</v>
      </c>
      <c r="O85" s="1">
        <v>21.0</v>
      </c>
      <c r="P85" s="1">
        <v>15.0</v>
      </c>
      <c r="Q85" s="1">
        <v>1430.51</v>
      </c>
      <c r="R85" s="1">
        <v>0.25</v>
      </c>
    </row>
    <row r="86" ht="15.75" customHeight="1">
      <c r="A86" s="1" t="s">
        <v>25</v>
      </c>
      <c r="B86" s="1">
        <v>85.0</v>
      </c>
      <c r="C86" s="1" t="s">
        <v>130</v>
      </c>
      <c r="D86" s="1" t="s">
        <v>131</v>
      </c>
      <c r="G86" s="1" t="s">
        <v>139</v>
      </c>
      <c r="K86" s="1" t="s">
        <v>24</v>
      </c>
      <c r="N86" s="1">
        <v>20.0</v>
      </c>
      <c r="O86" s="1">
        <v>40.0</v>
      </c>
      <c r="P86" s="1">
        <v>20.0</v>
      </c>
      <c r="Q86" s="1">
        <v>1412.39</v>
      </c>
      <c r="R86" s="1">
        <v>0.25</v>
      </c>
    </row>
    <row r="87" ht="15.75" customHeight="1">
      <c r="A87" s="1" t="s">
        <v>25</v>
      </c>
      <c r="B87" s="1">
        <v>86.0</v>
      </c>
      <c r="C87" s="1" t="s">
        <v>245</v>
      </c>
      <c r="D87" s="1" t="s">
        <v>243</v>
      </c>
      <c r="G87" s="1" t="s">
        <v>251</v>
      </c>
      <c r="K87" s="1" t="s">
        <v>24</v>
      </c>
      <c r="N87" s="1">
        <v>14.0</v>
      </c>
      <c r="O87" s="1">
        <v>16.0</v>
      </c>
      <c r="P87" s="1">
        <v>12.0</v>
      </c>
      <c r="Q87" s="1">
        <v>1345.98</v>
      </c>
      <c r="R87" s="1">
        <v>0.23</v>
      </c>
    </row>
    <row r="88" ht="15.75" customHeight="1">
      <c r="A88" s="1" t="s">
        <v>25</v>
      </c>
      <c r="B88" s="1">
        <v>87.0</v>
      </c>
      <c r="C88" s="1" t="s">
        <v>242</v>
      </c>
      <c r="D88" s="1" t="s">
        <v>243</v>
      </c>
      <c r="G88" s="1" t="s">
        <v>236</v>
      </c>
      <c r="K88" s="1" t="s">
        <v>24</v>
      </c>
      <c r="N88" s="1">
        <v>11.0</v>
      </c>
      <c r="O88" s="1">
        <v>17.0</v>
      </c>
      <c r="P88" s="1">
        <v>10.0</v>
      </c>
      <c r="Q88" s="1">
        <v>1345.06</v>
      </c>
      <c r="R88" s="1">
        <v>0.23</v>
      </c>
    </row>
    <row r="89" ht="15.75" customHeight="1">
      <c r="A89" s="1" t="s">
        <v>25</v>
      </c>
      <c r="B89" s="1">
        <v>88.0</v>
      </c>
      <c r="C89" s="1" t="s">
        <v>60</v>
      </c>
      <c r="D89" s="1" t="s">
        <v>22</v>
      </c>
      <c r="G89" s="1" t="s">
        <v>65</v>
      </c>
      <c r="K89" s="1" t="s">
        <v>24</v>
      </c>
      <c r="N89" s="1">
        <v>42.0</v>
      </c>
      <c r="O89" s="1">
        <v>43.0</v>
      </c>
      <c r="P89" s="1">
        <v>34.0</v>
      </c>
      <c r="Q89" s="1">
        <v>1339.29</v>
      </c>
      <c r="R89" s="1">
        <v>0.23</v>
      </c>
    </row>
    <row r="90" ht="15.75" customHeight="1">
      <c r="A90" s="1" t="s">
        <v>25</v>
      </c>
      <c r="B90" s="1">
        <v>89.0</v>
      </c>
      <c r="C90" s="1" t="s">
        <v>26</v>
      </c>
      <c r="D90" s="1" t="s">
        <v>22</v>
      </c>
      <c r="G90" s="1" t="s">
        <v>27</v>
      </c>
      <c r="K90" s="1" t="s">
        <v>24</v>
      </c>
      <c r="N90" s="1">
        <v>26.0</v>
      </c>
      <c r="O90" s="1">
        <v>28.0</v>
      </c>
      <c r="P90" s="1">
        <v>23.0</v>
      </c>
      <c r="Q90" s="1">
        <v>1317.96</v>
      </c>
      <c r="R90" s="1">
        <v>0.23</v>
      </c>
    </row>
    <row r="91" ht="15.75" customHeight="1">
      <c r="A91" s="1" t="s">
        <v>25</v>
      </c>
      <c r="B91" s="1">
        <v>90.0</v>
      </c>
      <c r="C91" s="1" t="s">
        <v>255</v>
      </c>
      <c r="D91" s="1" t="s">
        <v>254</v>
      </c>
      <c r="G91" s="1" t="s">
        <v>259</v>
      </c>
      <c r="K91" s="1" t="s">
        <v>24</v>
      </c>
      <c r="N91" s="1">
        <v>29.0</v>
      </c>
      <c r="O91" s="1">
        <v>31.0</v>
      </c>
      <c r="P91" s="1">
        <v>20.0</v>
      </c>
      <c r="Q91" s="1">
        <v>1316.0</v>
      </c>
      <c r="R91" s="1">
        <v>0.23</v>
      </c>
    </row>
    <row r="92" ht="15.75" customHeight="1">
      <c r="A92" s="1" t="s">
        <v>25</v>
      </c>
      <c r="B92" s="1">
        <v>91.0</v>
      </c>
      <c r="C92" s="1" t="s">
        <v>60</v>
      </c>
      <c r="D92" s="1" t="s">
        <v>22</v>
      </c>
      <c r="G92" s="1" t="s">
        <v>77</v>
      </c>
      <c r="K92" s="1" t="s">
        <v>24</v>
      </c>
      <c r="N92" s="1">
        <v>28.0</v>
      </c>
      <c r="O92" s="1">
        <v>35.0</v>
      </c>
      <c r="P92" s="1">
        <v>28.0</v>
      </c>
      <c r="Q92" s="1">
        <v>1307.32</v>
      </c>
      <c r="R92" s="1">
        <v>0.23</v>
      </c>
    </row>
    <row r="93" ht="15.75" customHeight="1">
      <c r="A93" s="1" t="s">
        <v>25</v>
      </c>
      <c r="B93" s="1">
        <v>92.0</v>
      </c>
      <c r="C93" s="1" t="s">
        <v>183</v>
      </c>
      <c r="D93" s="1" t="s">
        <v>165</v>
      </c>
      <c r="G93" s="1" t="s">
        <v>184</v>
      </c>
      <c r="K93" s="1" t="s">
        <v>24</v>
      </c>
      <c r="N93" s="1">
        <v>5.0</v>
      </c>
      <c r="O93" s="1">
        <v>6.0</v>
      </c>
      <c r="P93" s="1">
        <v>3.0</v>
      </c>
      <c r="Q93" s="1">
        <v>1255.88</v>
      </c>
      <c r="R93" s="1">
        <v>0.22</v>
      </c>
    </row>
    <row r="94" ht="15.75" customHeight="1">
      <c r="A94" s="1" t="s">
        <v>25</v>
      </c>
      <c r="B94" s="1">
        <v>93.0</v>
      </c>
      <c r="C94" s="1" t="s">
        <v>185</v>
      </c>
      <c r="D94" s="1" t="s">
        <v>165</v>
      </c>
      <c r="G94" s="1" t="s">
        <v>184</v>
      </c>
      <c r="K94" s="1" t="s">
        <v>24</v>
      </c>
      <c r="N94" s="1">
        <v>6.0</v>
      </c>
      <c r="O94" s="1">
        <v>6.0</v>
      </c>
      <c r="P94" s="1">
        <v>5.0</v>
      </c>
      <c r="Q94" s="1">
        <v>1251.31</v>
      </c>
      <c r="R94" s="1">
        <v>0.22</v>
      </c>
    </row>
    <row r="95" ht="15.75" customHeight="1">
      <c r="A95" s="1" t="s">
        <v>25</v>
      </c>
      <c r="B95" s="1">
        <v>94.0</v>
      </c>
      <c r="C95" s="1" t="s">
        <v>104</v>
      </c>
      <c r="D95" s="1" t="s">
        <v>87</v>
      </c>
      <c r="G95" s="1" t="s">
        <v>105</v>
      </c>
      <c r="K95" s="1" t="s">
        <v>24</v>
      </c>
      <c r="N95" s="1">
        <v>4.0</v>
      </c>
      <c r="O95" s="1">
        <v>5.0</v>
      </c>
      <c r="P95" s="1">
        <v>4.0</v>
      </c>
      <c r="Q95" s="1">
        <v>1245.0</v>
      </c>
      <c r="R95" s="1">
        <v>0.22</v>
      </c>
    </row>
    <row r="96" ht="15.75" customHeight="1">
      <c r="A96" s="1" t="s">
        <v>277</v>
      </c>
      <c r="B96" s="1">
        <v>95.0</v>
      </c>
      <c r="C96" s="1" t="s">
        <v>323</v>
      </c>
      <c r="D96" s="1" t="s">
        <v>115</v>
      </c>
      <c r="F96" s="1" t="s">
        <v>324</v>
      </c>
      <c r="G96" s="1" t="s">
        <v>125</v>
      </c>
      <c r="J96" s="1">
        <v>5.25</v>
      </c>
      <c r="K96" s="1" t="s">
        <v>280</v>
      </c>
      <c r="N96" s="1">
        <v>48.0</v>
      </c>
      <c r="O96" s="1">
        <v>57.0</v>
      </c>
      <c r="P96" s="1">
        <v>40.0</v>
      </c>
      <c r="Q96" s="1">
        <v>1228.41</v>
      </c>
      <c r="R96" s="1">
        <v>0.21</v>
      </c>
    </row>
    <row r="97" ht="15.75" customHeight="1">
      <c r="A97" s="1" t="s">
        <v>277</v>
      </c>
      <c r="B97" s="1">
        <v>96.0</v>
      </c>
      <c r="C97" s="1" t="s">
        <v>325</v>
      </c>
      <c r="D97" s="1" t="s">
        <v>199</v>
      </c>
      <c r="F97" s="1" t="s">
        <v>326</v>
      </c>
      <c r="G97" s="1" t="s">
        <v>206</v>
      </c>
      <c r="J97" s="1">
        <v>4.15</v>
      </c>
      <c r="K97" s="1" t="s">
        <v>280</v>
      </c>
      <c r="N97" s="1">
        <v>38.0</v>
      </c>
      <c r="O97" s="1">
        <v>58.0</v>
      </c>
      <c r="P97" s="1">
        <v>31.0</v>
      </c>
      <c r="Q97" s="1">
        <v>1211.09</v>
      </c>
      <c r="R97" s="1">
        <v>0.21</v>
      </c>
    </row>
    <row r="98" ht="15.75" customHeight="1">
      <c r="A98" s="1" t="s">
        <v>25</v>
      </c>
      <c r="B98" s="1">
        <v>97.0</v>
      </c>
      <c r="C98" s="1" t="s">
        <v>181</v>
      </c>
      <c r="D98" s="1" t="s">
        <v>165</v>
      </c>
      <c r="G98" s="1" t="s">
        <v>180</v>
      </c>
      <c r="K98" s="1" t="s">
        <v>24</v>
      </c>
      <c r="N98" s="1">
        <v>11.0</v>
      </c>
      <c r="O98" s="1">
        <v>11.0</v>
      </c>
      <c r="P98" s="1">
        <v>10.0</v>
      </c>
      <c r="Q98" s="1">
        <v>1205.52</v>
      </c>
      <c r="R98" s="1">
        <v>0.21</v>
      </c>
    </row>
    <row r="99" ht="15.75" customHeight="1">
      <c r="A99" s="1" t="s">
        <v>25</v>
      </c>
      <c r="B99" s="1">
        <v>98.0</v>
      </c>
      <c r="C99" s="1" t="s">
        <v>260</v>
      </c>
      <c r="D99" s="1" t="s">
        <v>261</v>
      </c>
      <c r="G99" s="1" t="s">
        <v>263</v>
      </c>
      <c r="K99" s="1" t="s">
        <v>24</v>
      </c>
      <c r="N99" s="1">
        <v>31.0</v>
      </c>
      <c r="O99" s="1">
        <v>37.0</v>
      </c>
      <c r="P99" s="1">
        <v>27.0</v>
      </c>
      <c r="Q99" s="1">
        <v>1202.24</v>
      </c>
      <c r="R99" s="1">
        <v>0.21</v>
      </c>
    </row>
    <row r="100" ht="15.75" customHeight="1">
      <c r="A100" s="1" t="s">
        <v>25</v>
      </c>
      <c r="B100" s="1">
        <v>99.0</v>
      </c>
      <c r="C100" s="1" t="s">
        <v>178</v>
      </c>
      <c r="D100" s="1" t="s">
        <v>165</v>
      </c>
      <c r="G100" s="1" t="s">
        <v>177</v>
      </c>
      <c r="K100" s="1" t="s">
        <v>24</v>
      </c>
      <c r="N100" s="1">
        <v>12.0</v>
      </c>
      <c r="O100" s="1">
        <v>12.0</v>
      </c>
      <c r="P100" s="1">
        <v>11.0</v>
      </c>
      <c r="Q100" s="1">
        <v>1192.94</v>
      </c>
      <c r="R100" s="1">
        <v>0.21</v>
      </c>
    </row>
    <row r="101" ht="15.75" customHeight="1">
      <c r="A101" s="1" t="s">
        <v>25</v>
      </c>
      <c r="B101" s="1">
        <v>100.0</v>
      </c>
      <c r="C101" s="1" t="s">
        <v>208</v>
      </c>
      <c r="D101" s="1" t="s">
        <v>209</v>
      </c>
      <c r="G101" s="1" t="s">
        <v>213</v>
      </c>
      <c r="K101" s="1" t="s">
        <v>24</v>
      </c>
      <c r="N101" s="1">
        <v>38.0</v>
      </c>
      <c r="O101" s="1">
        <v>46.0</v>
      </c>
      <c r="P101" s="1">
        <v>30.0</v>
      </c>
      <c r="Q101" s="1">
        <v>1187.83</v>
      </c>
      <c r="R101" s="1">
        <v>0.21</v>
      </c>
    </row>
    <row r="102" ht="15.75" customHeight="1">
      <c r="A102" s="1" t="s">
        <v>277</v>
      </c>
      <c r="B102" s="1">
        <v>101.0</v>
      </c>
      <c r="C102" s="1" t="s">
        <v>327</v>
      </c>
      <c r="D102" s="1" t="s">
        <v>199</v>
      </c>
      <c r="F102" s="1" t="s">
        <v>328</v>
      </c>
      <c r="G102" s="1" t="s">
        <v>201</v>
      </c>
      <c r="J102" s="1">
        <v>0.83</v>
      </c>
      <c r="K102" s="1" t="s">
        <v>280</v>
      </c>
      <c r="N102" s="1">
        <v>91.0</v>
      </c>
      <c r="O102" s="1">
        <v>161.0</v>
      </c>
      <c r="P102" s="1">
        <v>80.0</v>
      </c>
      <c r="Q102" s="1">
        <v>1161.92</v>
      </c>
      <c r="R102" s="1">
        <v>0.2</v>
      </c>
    </row>
    <row r="103" ht="15.75" customHeight="1">
      <c r="A103" s="1" t="s">
        <v>25</v>
      </c>
      <c r="B103" s="1">
        <v>102.0</v>
      </c>
      <c r="C103" s="1" t="s">
        <v>26</v>
      </c>
      <c r="D103" s="1" t="s">
        <v>22</v>
      </c>
      <c r="G103" s="1" t="s">
        <v>53</v>
      </c>
      <c r="K103" s="1" t="s">
        <v>24</v>
      </c>
      <c r="N103" s="1">
        <v>12.0</v>
      </c>
      <c r="O103" s="1">
        <v>18.0</v>
      </c>
      <c r="P103" s="1">
        <v>12.0</v>
      </c>
      <c r="Q103" s="1">
        <v>1103.48</v>
      </c>
      <c r="R103" s="1">
        <v>0.19</v>
      </c>
    </row>
    <row r="104" ht="15.75" customHeight="1">
      <c r="A104" s="1" t="s">
        <v>277</v>
      </c>
      <c r="B104" s="1">
        <v>103.0</v>
      </c>
      <c r="C104" s="1" t="s">
        <v>329</v>
      </c>
      <c r="D104" s="1" t="s">
        <v>115</v>
      </c>
      <c r="F104" s="1" t="s">
        <v>330</v>
      </c>
      <c r="G104" s="1" t="s">
        <v>123</v>
      </c>
      <c r="J104" s="1">
        <v>5.25</v>
      </c>
      <c r="K104" s="1" t="s">
        <v>280</v>
      </c>
      <c r="N104" s="1">
        <v>40.0</v>
      </c>
      <c r="O104" s="1">
        <v>48.0</v>
      </c>
      <c r="P104" s="1">
        <v>33.0</v>
      </c>
      <c r="Q104" s="1">
        <v>1020.05</v>
      </c>
      <c r="R104" s="1">
        <v>0.18</v>
      </c>
    </row>
    <row r="105" ht="15.75" customHeight="1">
      <c r="A105" s="1" t="s">
        <v>25</v>
      </c>
      <c r="B105" s="1">
        <v>104.0</v>
      </c>
      <c r="C105" s="1" t="s">
        <v>106</v>
      </c>
      <c r="D105" s="1" t="s">
        <v>87</v>
      </c>
      <c r="G105" s="1" t="s">
        <v>105</v>
      </c>
      <c r="K105" s="1" t="s">
        <v>24</v>
      </c>
      <c r="N105" s="1">
        <v>4.0</v>
      </c>
      <c r="O105" s="1">
        <v>4.0</v>
      </c>
      <c r="P105" s="1">
        <v>4.0</v>
      </c>
      <c r="Q105" s="1">
        <v>996.0</v>
      </c>
      <c r="R105" s="1">
        <v>0.17</v>
      </c>
    </row>
    <row r="106" ht="15.75" customHeight="1">
      <c r="A106" s="1" t="s">
        <v>277</v>
      </c>
      <c r="B106" s="1">
        <v>105.0</v>
      </c>
      <c r="C106" s="1" t="s">
        <v>331</v>
      </c>
      <c r="D106" s="1" t="s">
        <v>199</v>
      </c>
      <c r="F106" s="1" t="s">
        <v>332</v>
      </c>
      <c r="G106" s="1" t="s">
        <v>203</v>
      </c>
      <c r="J106" s="1">
        <v>4.15</v>
      </c>
      <c r="K106" s="1" t="s">
        <v>280</v>
      </c>
      <c r="N106" s="1">
        <v>39.0</v>
      </c>
      <c r="O106" s="1">
        <v>46.0</v>
      </c>
      <c r="P106" s="1">
        <v>31.0</v>
      </c>
      <c r="Q106" s="1">
        <v>986.57</v>
      </c>
      <c r="R106" s="1">
        <v>0.17</v>
      </c>
    </row>
    <row r="107" ht="15.75" customHeight="1">
      <c r="A107" s="1" t="s">
        <v>25</v>
      </c>
      <c r="B107" s="1">
        <v>106.0</v>
      </c>
      <c r="C107" s="1" t="s">
        <v>49</v>
      </c>
      <c r="D107" s="1" t="s">
        <v>22</v>
      </c>
      <c r="G107" s="1" t="s">
        <v>50</v>
      </c>
      <c r="K107" s="1" t="s">
        <v>24</v>
      </c>
      <c r="N107" s="1">
        <v>18.0</v>
      </c>
      <c r="O107" s="1">
        <v>25.0</v>
      </c>
      <c r="P107" s="1">
        <v>16.0</v>
      </c>
      <c r="Q107" s="1">
        <v>979.95</v>
      </c>
      <c r="R107" s="1">
        <v>0.17</v>
      </c>
    </row>
    <row r="108" ht="15.75" customHeight="1">
      <c r="A108" s="1" t="s">
        <v>277</v>
      </c>
      <c r="B108" s="1">
        <v>107.0</v>
      </c>
      <c r="C108" s="1" t="s">
        <v>333</v>
      </c>
      <c r="D108" s="1" t="s">
        <v>273</v>
      </c>
      <c r="E108" s="1" t="s">
        <v>334</v>
      </c>
      <c r="F108" s="1" t="s">
        <v>335</v>
      </c>
      <c r="G108" s="1" t="s">
        <v>275</v>
      </c>
      <c r="H108" s="1" t="s">
        <v>336</v>
      </c>
      <c r="J108" s="1">
        <v>11.56</v>
      </c>
      <c r="K108" s="1" t="s">
        <v>280</v>
      </c>
      <c r="N108" s="1">
        <v>15.0</v>
      </c>
      <c r="O108" s="1">
        <v>18.0</v>
      </c>
      <c r="P108" s="1">
        <v>13.0</v>
      </c>
      <c r="Q108" s="1">
        <v>969.06</v>
      </c>
      <c r="R108" s="1">
        <v>0.17</v>
      </c>
    </row>
    <row r="109" ht="15.75" customHeight="1">
      <c r="A109" s="1" t="s">
        <v>25</v>
      </c>
      <c r="B109" s="1">
        <v>108.0</v>
      </c>
      <c r="C109" s="1" t="s">
        <v>231</v>
      </c>
      <c r="D109" s="1" t="s">
        <v>226</v>
      </c>
      <c r="G109" s="1" t="s">
        <v>239</v>
      </c>
      <c r="K109" s="1" t="s">
        <v>24</v>
      </c>
      <c r="N109" s="1">
        <v>24.0</v>
      </c>
      <c r="O109" s="1">
        <v>35.0</v>
      </c>
      <c r="P109" s="1">
        <v>23.0</v>
      </c>
      <c r="Q109" s="1">
        <v>948.23</v>
      </c>
      <c r="R109" s="1">
        <v>0.17</v>
      </c>
    </row>
    <row r="110" ht="15.75" customHeight="1">
      <c r="A110" s="1" t="s">
        <v>277</v>
      </c>
      <c r="B110" s="1">
        <v>109.0</v>
      </c>
      <c r="C110" s="1" t="s">
        <v>337</v>
      </c>
      <c r="D110" s="1" t="s">
        <v>115</v>
      </c>
      <c r="F110" s="1" t="s">
        <v>338</v>
      </c>
      <c r="G110" s="1" t="s">
        <v>117</v>
      </c>
      <c r="J110" s="1">
        <v>1.05</v>
      </c>
      <c r="K110" s="1" t="s">
        <v>280</v>
      </c>
      <c r="N110" s="1">
        <v>86.0</v>
      </c>
      <c r="O110" s="1">
        <v>110.0</v>
      </c>
      <c r="P110" s="1">
        <v>75.0</v>
      </c>
      <c r="Q110" s="1">
        <v>861.02</v>
      </c>
      <c r="R110" s="1">
        <v>0.15</v>
      </c>
    </row>
    <row r="111" ht="15.75" customHeight="1">
      <c r="A111" s="1" t="s">
        <v>25</v>
      </c>
      <c r="B111" s="1">
        <v>110.0</v>
      </c>
      <c r="C111" s="1" t="s">
        <v>138</v>
      </c>
      <c r="D111" s="1" t="s">
        <v>131</v>
      </c>
      <c r="G111" s="1" t="s">
        <v>140</v>
      </c>
      <c r="K111" s="1" t="s">
        <v>24</v>
      </c>
      <c r="N111" s="1">
        <v>14.0</v>
      </c>
      <c r="O111" s="1">
        <v>23.0</v>
      </c>
      <c r="P111" s="1">
        <v>13.0</v>
      </c>
      <c r="Q111" s="1">
        <v>846.13</v>
      </c>
      <c r="R111" s="1">
        <v>0.15</v>
      </c>
    </row>
    <row r="112" ht="15.75" customHeight="1">
      <c r="A112" s="1" t="s">
        <v>25</v>
      </c>
      <c r="B112" s="1">
        <v>111.0</v>
      </c>
      <c r="C112" s="1" t="s">
        <v>38</v>
      </c>
      <c r="D112" s="1" t="s">
        <v>22</v>
      </c>
      <c r="G112" s="1" t="s">
        <v>39</v>
      </c>
      <c r="K112" s="1" t="s">
        <v>24</v>
      </c>
      <c r="N112" s="1">
        <v>14.0</v>
      </c>
      <c r="O112" s="1">
        <v>15.0</v>
      </c>
      <c r="P112" s="1">
        <v>14.0</v>
      </c>
      <c r="Q112" s="1">
        <v>838.57</v>
      </c>
      <c r="R112" s="1">
        <v>0.15</v>
      </c>
    </row>
    <row r="113" ht="15.75" customHeight="1">
      <c r="A113" s="1" t="s">
        <v>25</v>
      </c>
      <c r="B113" s="1">
        <v>112.0</v>
      </c>
      <c r="C113" s="1" t="s">
        <v>28</v>
      </c>
      <c r="D113" s="1" t="s">
        <v>22</v>
      </c>
      <c r="G113" s="1" t="s">
        <v>55</v>
      </c>
      <c r="K113" s="1" t="s">
        <v>24</v>
      </c>
      <c r="N113" s="1">
        <v>7.0</v>
      </c>
      <c r="O113" s="1">
        <v>13.0</v>
      </c>
      <c r="P113" s="1">
        <v>7.0</v>
      </c>
      <c r="Q113" s="1">
        <v>832.53</v>
      </c>
      <c r="R113" s="1">
        <v>0.15</v>
      </c>
    </row>
    <row r="114" ht="15.75" customHeight="1">
      <c r="A114" s="1" t="s">
        <v>25</v>
      </c>
      <c r="B114" s="1">
        <v>113.0</v>
      </c>
      <c r="C114" s="1" t="s">
        <v>169</v>
      </c>
      <c r="D114" s="1" t="s">
        <v>165</v>
      </c>
      <c r="G114" s="1" t="s">
        <v>174</v>
      </c>
      <c r="K114" s="1" t="s">
        <v>24</v>
      </c>
      <c r="N114" s="1">
        <v>13.0</v>
      </c>
      <c r="O114" s="1">
        <v>15.0</v>
      </c>
      <c r="P114" s="1">
        <v>13.0</v>
      </c>
      <c r="Q114" s="1">
        <v>827.98</v>
      </c>
      <c r="R114" s="1">
        <v>0.14</v>
      </c>
    </row>
    <row r="115" ht="15.75" customHeight="1">
      <c r="A115" s="1" t="s">
        <v>25</v>
      </c>
      <c r="B115" s="1">
        <v>114.0</v>
      </c>
      <c r="C115" s="1" t="s">
        <v>47</v>
      </c>
      <c r="D115" s="1" t="s">
        <v>22</v>
      </c>
      <c r="G115" s="1" t="s">
        <v>48</v>
      </c>
      <c r="K115" s="1" t="s">
        <v>24</v>
      </c>
      <c r="N115" s="1">
        <v>14.0</v>
      </c>
      <c r="O115" s="1">
        <v>14.0</v>
      </c>
      <c r="P115" s="1">
        <v>14.0</v>
      </c>
      <c r="Q115" s="1">
        <v>809.54</v>
      </c>
      <c r="R115" s="1">
        <v>0.14</v>
      </c>
    </row>
    <row r="116" ht="15.75" customHeight="1">
      <c r="A116" s="1" t="s">
        <v>277</v>
      </c>
      <c r="B116" s="1">
        <v>115.0</v>
      </c>
      <c r="C116" s="1" t="s">
        <v>339</v>
      </c>
      <c r="D116" s="1" t="s">
        <v>22</v>
      </c>
      <c r="E116" s="1" t="s">
        <v>340</v>
      </c>
      <c r="F116" s="1" t="s">
        <v>341</v>
      </c>
      <c r="G116" s="1" t="s">
        <v>31</v>
      </c>
      <c r="H116" s="1" t="s">
        <v>336</v>
      </c>
      <c r="J116" s="1">
        <v>21.1</v>
      </c>
      <c r="K116" s="1" t="s">
        <v>280</v>
      </c>
      <c r="N116" s="1">
        <v>10.0</v>
      </c>
      <c r="O116" s="1">
        <v>14.0</v>
      </c>
      <c r="P116" s="1">
        <v>5.0</v>
      </c>
      <c r="Q116" s="1">
        <v>803.64</v>
      </c>
      <c r="R116" s="1">
        <v>0.14</v>
      </c>
    </row>
    <row r="117" ht="15.75" customHeight="1">
      <c r="A117" s="1" t="s">
        <v>25</v>
      </c>
      <c r="B117" s="1">
        <v>116.0</v>
      </c>
      <c r="C117" s="1" t="s">
        <v>260</v>
      </c>
      <c r="D117" s="1" t="s">
        <v>261</v>
      </c>
      <c r="G117" s="1" t="s">
        <v>55</v>
      </c>
      <c r="K117" s="1" t="s">
        <v>24</v>
      </c>
      <c r="N117" s="1">
        <v>9.0</v>
      </c>
      <c r="O117" s="1">
        <v>24.0</v>
      </c>
      <c r="P117" s="1">
        <v>9.0</v>
      </c>
      <c r="Q117" s="1">
        <v>802.85</v>
      </c>
      <c r="R117" s="1">
        <v>0.14</v>
      </c>
    </row>
    <row r="118" ht="15.75" customHeight="1">
      <c r="A118" s="1" t="s">
        <v>25</v>
      </c>
      <c r="B118" s="1">
        <v>117.0</v>
      </c>
      <c r="C118" s="1" t="s">
        <v>28</v>
      </c>
      <c r="D118" s="1" t="s">
        <v>22</v>
      </c>
      <c r="G118" s="1" t="s">
        <v>54</v>
      </c>
      <c r="K118" s="1" t="s">
        <v>24</v>
      </c>
      <c r="N118" s="1">
        <v>7.0</v>
      </c>
      <c r="O118" s="1">
        <v>10.0</v>
      </c>
      <c r="P118" s="1">
        <v>6.0</v>
      </c>
      <c r="Q118" s="1">
        <v>799.18</v>
      </c>
      <c r="R118" s="1">
        <v>0.14</v>
      </c>
    </row>
    <row r="119" ht="15.75" customHeight="1">
      <c r="A119" s="1" t="s">
        <v>25</v>
      </c>
      <c r="B119" s="1">
        <v>118.0</v>
      </c>
      <c r="C119" s="1" t="s">
        <v>264</v>
      </c>
      <c r="D119" s="1" t="s">
        <v>261</v>
      </c>
      <c r="G119" s="1" t="s">
        <v>43</v>
      </c>
      <c r="K119" s="1" t="s">
        <v>24</v>
      </c>
      <c r="N119" s="1">
        <v>17.0</v>
      </c>
      <c r="O119" s="1">
        <v>28.0</v>
      </c>
      <c r="P119" s="1">
        <v>15.0</v>
      </c>
      <c r="Q119" s="1">
        <v>785.94</v>
      </c>
      <c r="R119" s="1">
        <v>0.14</v>
      </c>
    </row>
    <row r="120" ht="15.75" customHeight="1">
      <c r="A120" s="1" t="s">
        <v>277</v>
      </c>
      <c r="B120" s="1">
        <v>119.0</v>
      </c>
      <c r="C120" s="1" t="s">
        <v>342</v>
      </c>
      <c r="D120" s="1" t="s">
        <v>199</v>
      </c>
      <c r="E120" s="1" t="s">
        <v>343</v>
      </c>
      <c r="F120" s="1" t="s">
        <v>344</v>
      </c>
      <c r="G120" s="1" t="s">
        <v>200</v>
      </c>
      <c r="H120" s="1" t="s">
        <v>284</v>
      </c>
      <c r="J120" s="1">
        <v>0.83</v>
      </c>
      <c r="K120" s="1" t="s">
        <v>280</v>
      </c>
      <c r="N120" s="1">
        <v>74.0</v>
      </c>
      <c r="O120" s="1">
        <v>103.0</v>
      </c>
      <c r="P120" s="1">
        <v>67.0</v>
      </c>
      <c r="Q120" s="1">
        <v>785.89</v>
      </c>
      <c r="R120" s="1">
        <v>0.14</v>
      </c>
    </row>
    <row r="121" ht="15.75" customHeight="1">
      <c r="A121" s="1" t="s">
        <v>25</v>
      </c>
      <c r="B121" s="1">
        <v>120.0</v>
      </c>
      <c r="C121" s="1" t="s">
        <v>60</v>
      </c>
      <c r="D121" s="1" t="s">
        <v>22</v>
      </c>
      <c r="G121" s="1" t="s">
        <v>61</v>
      </c>
      <c r="K121" s="1" t="s">
        <v>24</v>
      </c>
      <c r="N121" s="1">
        <v>22.0</v>
      </c>
      <c r="O121" s="1">
        <v>27.0</v>
      </c>
      <c r="P121" s="1">
        <v>16.0</v>
      </c>
      <c r="Q121" s="1">
        <v>781.53</v>
      </c>
      <c r="R121" s="1">
        <v>0.14</v>
      </c>
    </row>
    <row r="122" ht="15.75" customHeight="1">
      <c r="A122" s="1" t="s">
        <v>25</v>
      </c>
      <c r="B122" s="1">
        <v>121.0</v>
      </c>
      <c r="C122" s="1" t="s">
        <v>133</v>
      </c>
      <c r="D122" s="1" t="s">
        <v>131</v>
      </c>
      <c r="G122" s="1" t="s">
        <v>134</v>
      </c>
      <c r="K122" s="1" t="s">
        <v>24</v>
      </c>
      <c r="N122" s="1">
        <v>11.0</v>
      </c>
      <c r="O122" s="1">
        <v>11.0</v>
      </c>
      <c r="P122" s="1">
        <v>7.0</v>
      </c>
      <c r="Q122" s="1">
        <v>762.2</v>
      </c>
      <c r="R122" s="1">
        <v>0.13</v>
      </c>
    </row>
    <row r="123" ht="15.75" customHeight="1">
      <c r="A123" s="1" t="s">
        <v>25</v>
      </c>
      <c r="B123" s="1">
        <v>122.0</v>
      </c>
      <c r="C123" s="1" t="s">
        <v>234</v>
      </c>
      <c r="D123" s="1" t="s">
        <v>226</v>
      </c>
      <c r="G123" s="1" t="s">
        <v>241</v>
      </c>
      <c r="K123" s="1" t="s">
        <v>24</v>
      </c>
      <c r="N123" s="1">
        <v>16.0</v>
      </c>
      <c r="O123" s="1">
        <v>31.0</v>
      </c>
      <c r="P123" s="1">
        <v>13.0</v>
      </c>
      <c r="Q123" s="1">
        <v>746.25</v>
      </c>
      <c r="R123" s="1">
        <v>0.13</v>
      </c>
    </row>
    <row r="124" ht="15.75" customHeight="1">
      <c r="A124" s="1" t="s">
        <v>25</v>
      </c>
      <c r="B124" s="1">
        <v>123.0</v>
      </c>
      <c r="C124" s="1" t="s">
        <v>274</v>
      </c>
      <c r="D124" s="1" t="s">
        <v>273</v>
      </c>
      <c r="G124" s="1" t="s">
        <v>275</v>
      </c>
      <c r="K124" s="1" t="s">
        <v>24</v>
      </c>
      <c r="N124" s="1">
        <v>23.0</v>
      </c>
      <c r="O124" s="1">
        <v>23.0</v>
      </c>
      <c r="P124" s="1">
        <v>16.0</v>
      </c>
      <c r="Q124" s="1">
        <v>722.25</v>
      </c>
      <c r="R124" s="1">
        <v>0.13</v>
      </c>
    </row>
    <row r="125" ht="15.75" customHeight="1">
      <c r="A125" s="1" t="s">
        <v>25</v>
      </c>
      <c r="B125" s="1">
        <v>124.0</v>
      </c>
      <c r="C125" s="1" t="s">
        <v>81</v>
      </c>
      <c r="D125" s="1" t="s">
        <v>22</v>
      </c>
      <c r="G125" s="1" t="s">
        <v>82</v>
      </c>
      <c r="K125" s="1" t="s">
        <v>24</v>
      </c>
      <c r="N125" s="1">
        <v>17.0</v>
      </c>
      <c r="O125" s="1">
        <v>18.0</v>
      </c>
      <c r="P125" s="1">
        <v>16.0</v>
      </c>
      <c r="Q125" s="1">
        <v>718.2</v>
      </c>
      <c r="R125" s="1">
        <v>0.13</v>
      </c>
    </row>
    <row r="126" ht="15.75" customHeight="1">
      <c r="A126" s="1" t="s">
        <v>25</v>
      </c>
      <c r="B126" s="1">
        <v>125.0</v>
      </c>
      <c r="C126" s="1" t="s">
        <v>274</v>
      </c>
      <c r="D126" s="1" t="s">
        <v>273</v>
      </c>
      <c r="G126" s="1" t="s">
        <v>276</v>
      </c>
      <c r="K126" s="1" t="s">
        <v>24</v>
      </c>
      <c r="N126" s="1">
        <v>19.0</v>
      </c>
      <c r="O126" s="1">
        <v>21.0</v>
      </c>
      <c r="P126" s="1">
        <v>19.0</v>
      </c>
      <c r="Q126" s="1">
        <v>697.95</v>
      </c>
      <c r="R126" s="1">
        <v>0.12</v>
      </c>
    </row>
    <row r="127" ht="15.75" customHeight="1">
      <c r="A127" s="1" t="s">
        <v>25</v>
      </c>
      <c r="B127" s="1">
        <v>126.0</v>
      </c>
      <c r="C127" s="1" t="s">
        <v>231</v>
      </c>
      <c r="D127" s="1" t="s">
        <v>226</v>
      </c>
      <c r="G127" s="1" t="s">
        <v>230</v>
      </c>
      <c r="K127" s="1" t="s">
        <v>24</v>
      </c>
      <c r="N127" s="1">
        <v>18.0</v>
      </c>
      <c r="O127" s="1">
        <v>24.0</v>
      </c>
      <c r="P127" s="1">
        <v>16.0</v>
      </c>
      <c r="Q127" s="1">
        <v>686.39</v>
      </c>
      <c r="R127" s="1">
        <v>0.12</v>
      </c>
    </row>
    <row r="128" ht="15.75" customHeight="1">
      <c r="A128" s="1" t="s">
        <v>25</v>
      </c>
      <c r="B128" s="1">
        <v>127.0</v>
      </c>
      <c r="C128" s="1" t="s">
        <v>245</v>
      </c>
      <c r="D128" s="1" t="s">
        <v>243</v>
      </c>
      <c r="G128" s="1" t="s">
        <v>41</v>
      </c>
      <c r="K128" s="1" t="s">
        <v>24</v>
      </c>
      <c r="N128" s="1">
        <v>7.0</v>
      </c>
      <c r="O128" s="1">
        <v>9.0</v>
      </c>
      <c r="P128" s="1">
        <v>7.0</v>
      </c>
      <c r="Q128" s="1">
        <v>679.68</v>
      </c>
      <c r="R128" s="1">
        <v>0.12</v>
      </c>
    </row>
    <row r="129" ht="15.75" customHeight="1">
      <c r="A129" s="1" t="s">
        <v>25</v>
      </c>
      <c r="B129" s="1">
        <v>128.0</v>
      </c>
      <c r="C129" s="1" t="s">
        <v>159</v>
      </c>
      <c r="D129" s="1" t="s">
        <v>160</v>
      </c>
      <c r="G129" s="1" t="s">
        <v>163</v>
      </c>
      <c r="K129" s="1" t="s">
        <v>24</v>
      </c>
      <c r="N129" s="1">
        <v>27.0</v>
      </c>
      <c r="O129" s="1">
        <v>29.0</v>
      </c>
      <c r="P129" s="1">
        <v>25.0</v>
      </c>
      <c r="Q129" s="1">
        <v>668.08</v>
      </c>
      <c r="R129" s="1">
        <v>0.12</v>
      </c>
    </row>
    <row r="130" ht="15.75" customHeight="1">
      <c r="A130" s="1" t="s">
        <v>25</v>
      </c>
      <c r="B130" s="1">
        <v>129.0</v>
      </c>
      <c r="C130" s="1" t="s">
        <v>253</v>
      </c>
      <c r="D130" s="1" t="s">
        <v>254</v>
      </c>
      <c r="G130" s="1" t="s">
        <v>223</v>
      </c>
      <c r="K130" s="1" t="s">
        <v>24</v>
      </c>
      <c r="N130" s="1">
        <v>16.0</v>
      </c>
      <c r="O130" s="1">
        <v>18.0</v>
      </c>
      <c r="P130" s="1">
        <v>16.0</v>
      </c>
      <c r="Q130" s="1">
        <v>661.68</v>
      </c>
      <c r="R130" s="1">
        <v>0.12</v>
      </c>
    </row>
    <row r="131" ht="15.75" customHeight="1">
      <c r="A131" s="1" t="s">
        <v>25</v>
      </c>
      <c r="B131" s="1">
        <v>130.0</v>
      </c>
      <c r="C131" s="1" t="s">
        <v>159</v>
      </c>
      <c r="D131" s="1" t="s">
        <v>160</v>
      </c>
      <c r="G131" s="1" t="s">
        <v>161</v>
      </c>
      <c r="K131" s="1" t="s">
        <v>24</v>
      </c>
      <c r="N131" s="1">
        <v>28.0</v>
      </c>
      <c r="O131" s="1">
        <v>28.0</v>
      </c>
      <c r="P131" s="1">
        <v>27.0</v>
      </c>
      <c r="Q131" s="1">
        <v>657.27</v>
      </c>
      <c r="R131" s="1">
        <v>0.11</v>
      </c>
    </row>
    <row r="132" ht="15.75" customHeight="1">
      <c r="A132" s="1" t="s">
        <v>25</v>
      </c>
      <c r="B132" s="1">
        <v>131.0</v>
      </c>
      <c r="C132" s="1" t="s">
        <v>99</v>
      </c>
      <c r="D132" s="1" t="s">
        <v>87</v>
      </c>
      <c r="G132" s="1" t="s">
        <v>100</v>
      </c>
      <c r="K132" s="1" t="s">
        <v>24</v>
      </c>
      <c r="N132" s="1">
        <v>72.0</v>
      </c>
      <c r="O132" s="1">
        <v>132.0</v>
      </c>
      <c r="P132" s="1">
        <v>68.0</v>
      </c>
      <c r="Q132" s="1">
        <v>643.33</v>
      </c>
      <c r="R132" s="1">
        <v>0.11</v>
      </c>
    </row>
    <row r="133" ht="15.75" customHeight="1">
      <c r="A133" s="1" t="s">
        <v>25</v>
      </c>
      <c r="B133" s="1">
        <v>132.0</v>
      </c>
      <c r="C133" s="1" t="s">
        <v>35</v>
      </c>
      <c r="D133" s="1" t="s">
        <v>22</v>
      </c>
      <c r="G133" s="1" t="s">
        <v>36</v>
      </c>
      <c r="K133" s="1" t="s">
        <v>24</v>
      </c>
      <c r="N133" s="1">
        <v>13.0</v>
      </c>
      <c r="O133" s="1">
        <v>15.0</v>
      </c>
      <c r="P133" s="1">
        <v>12.0</v>
      </c>
      <c r="Q133" s="1">
        <v>635.3</v>
      </c>
      <c r="R133" s="1">
        <v>0.11</v>
      </c>
    </row>
    <row r="134" ht="15.75" customHeight="1">
      <c r="A134" s="1" t="s">
        <v>25</v>
      </c>
      <c r="B134" s="1">
        <v>133.0</v>
      </c>
      <c r="C134" s="1" t="s">
        <v>58</v>
      </c>
      <c r="D134" s="1" t="s">
        <v>22</v>
      </c>
      <c r="G134" s="1" t="s">
        <v>57</v>
      </c>
      <c r="K134" s="1" t="s">
        <v>24</v>
      </c>
      <c r="N134" s="1">
        <v>6.0</v>
      </c>
      <c r="O134" s="1">
        <v>9.0</v>
      </c>
      <c r="P134" s="1">
        <v>6.0</v>
      </c>
      <c r="Q134" s="1">
        <v>630.26</v>
      </c>
      <c r="R134" s="1">
        <v>0.11</v>
      </c>
    </row>
    <row r="135" ht="15.75" customHeight="1">
      <c r="A135" s="1" t="s">
        <v>25</v>
      </c>
      <c r="B135" s="1">
        <v>134.0</v>
      </c>
      <c r="C135" s="1" t="s">
        <v>142</v>
      </c>
      <c r="D135" s="1" t="s">
        <v>131</v>
      </c>
      <c r="G135" s="1" t="s">
        <v>143</v>
      </c>
      <c r="K135" s="1" t="s">
        <v>24</v>
      </c>
      <c r="N135" s="1">
        <v>5.0</v>
      </c>
      <c r="O135" s="1">
        <v>5.0</v>
      </c>
      <c r="P135" s="1">
        <v>4.0</v>
      </c>
      <c r="Q135" s="1">
        <v>624.11</v>
      </c>
      <c r="R135" s="1">
        <v>0.11</v>
      </c>
    </row>
    <row r="136" ht="15.75" customHeight="1">
      <c r="A136" s="1" t="s">
        <v>25</v>
      </c>
      <c r="B136" s="1">
        <v>135.0</v>
      </c>
      <c r="C136" s="1" t="s">
        <v>97</v>
      </c>
      <c r="D136" s="1" t="s">
        <v>87</v>
      </c>
      <c r="G136" s="1" t="s">
        <v>98</v>
      </c>
      <c r="K136" s="1" t="s">
        <v>24</v>
      </c>
      <c r="N136" s="1">
        <v>72.0</v>
      </c>
      <c r="O136" s="1">
        <v>128.0</v>
      </c>
      <c r="P136" s="1">
        <v>68.0</v>
      </c>
      <c r="Q136" s="1">
        <v>618.73</v>
      </c>
      <c r="R136" s="1">
        <v>0.11</v>
      </c>
    </row>
    <row r="137" ht="15.75" customHeight="1">
      <c r="A137" s="1" t="s">
        <v>25</v>
      </c>
      <c r="B137" s="1">
        <v>136.0</v>
      </c>
      <c r="C137" s="1" t="s">
        <v>67</v>
      </c>
      <c r="D137" s="1" t="s">
        <v>22</v>
      </c>
      <c r="G137" s="1" t="s">
        <v>78</v>
      </c>
      <c r="K137" s="1" t="s">
        <v>24</v>
      </c>
      <c r="N137" s="1">
        <v>15.0</v>
      </c>
      <c r="O137" s="1">
        <v>15.0</v>
      </c>
      <c r="P137" s="1">
        <v>15.0</v>
      </c>
      <c r="Q137" s="1">
        <v>587.6</v>
      </c>
      <c r="R137" s="1">
        <v>0.1</v>
      </c>
    </row>
    <row r="138" ht="15.75" customHeight="1">
      <c r="A138" s="1" t="s">
        <v>25</v>
      </c>
      <c r="B138" s="1">
        <v>137.0</v>
      </c>
      <c r="C138" s="1" t="s">
        <v>45</v>
      </c>
      <c r="D138" s="1" t="s">
        <v>22</v>
      </c>
      <c r="G138" s="1" t="s">
        <v>46</v>
      </c>
      <c r="K138" s="1" t="s">
        <v>24</v>
      </c>
      <c r="N138" s="1">
        <v>10.0</v>
      </c>
      <c r="O138" s="1">
        <v>10.0</v>
      </c>
      <c r="P138" s="1">
        <v>9.0</v>
      </c>
      <c r="Q138" s="1">
        <v>581.33</v>
      </c>
      <c r="R138" s="1">
        <v>0.1</v>
      </c>
    </row>
    <row r="139" ht="15.75" customHeight="1">
      <c r="A139" s="1" t="s">
        <v>25</v>
      </c>
      <c r="B139" s="1">
        <v>138.0</v>
      </c>
      <c r="C139" s="1" t="s">
        <v>47</v>
      </c>
      <c r="D139" s="1" t="s">
        <v>22</v>
      </c>
      <c r="G139" s="1" t="s">
        <v>51</v>
      </c>
      <c r="K139" s="1" t="s">
        <v>24</v>
      </c>
      <c r="N139" s="1">
        <v>10.0</v>
      </c>
      <c r="O139" s="1">
        <v>10.0</v>
      </c>
      <c r="P139" s="1">
        <v>9.0</v>
      </c>
      <c r="Q139" s="1">
        <v>572.06</v>
      </c>
      <c r="R139" s="1">
        <v>0.1</v>
      </c>
    </row>
    <row r="140" ht="15.75" customHeight="1">
      <c r="A140" s="1" t="s">
        <v>25</v>
      </c>
      <c r="B140" s="1">
        <v>139.0</v>
      </c>
      <c r="C140" s="1" t="s">
        <v>74</v>
      </c>
      <c r="D140" s="1" t="s">
        <v>22</v>
      </c>
      <c r="G140" s="1" t="s">
        <v>84</v>
      </c>
      <c r="K140" s="1" t="s">
        <v>24</v>
      </c>
      <c r="N140" s="1">
        <v>16.0</v>
      </c>
      <c r="O140" s="1">
        <v>16.0</v>
      </c>
      <c r="P140" s="1">
        <v>15.0</v>
      </c>
      <c r="Q140" s="1">
        <v>564.86</v>
      </c>
      <c r="R140" s="1">
        <v>0.1</v>
      </c>
    </row>
    <row r="141" ht="15.75" customHeight="1">
      <c r="A141" s="1" t="s">
        <v>25</v>
      </c>
      <c r="B141" s="1">
        <v>140.0</v>
      </c>
      <c r="C141" s="1" t="s">
        <v>269</v>
      </c>
      <c r="D141" s="1" t="s">
        <v>261</v>
      </c>
      <c r="G141" s="1" t="s">
        <v>270</v>
      </c>
      <c r="K141" s="1" t="s">
        <v>24</v>
      </c>
      <c r="N141" s="1">
        <v>5.0</v>
      </c>
      <c r="O141" s="1">
        <v>5.0</v>
      </c>
      <c r="P141" s="1">
        <v>5.0</v>
      </c>
      <c r="Q141" s="1">
        <v>562.62</v>
      </c>
      <c r="R141" s="1">
        <v>0.1</v>
      </c>
    </row>
    <row r="142" ht="15.75" customHeight="1">
      <c r="A142" s="1" t="s">
        <v>25</v>
      </c>
      <c r="B142" s="1">
        <v>141.0</v>
      </c>
      <c r="C142" s="1" t="s">
        <v>135</v>
      </c>
      <c r="D142" s="1" t="s">
        <v>131</v>
      </c>
      <c r="G142" s="1" t="s">
        <v>134</v>
      </c>
      <c r="K142" s="1" t="s">
        <v>24</v>
      </c>
      <c r="N142" s="1">
        <v>8.0</v>
      </c>
      <c r="O142" s="1">
        <v>8.0</v>
      </c>
      <c r="P142" s="1">
        <v>5.0</v>
      </c>
      <c r="Q142" s="1">
        <v>559.69</v>
      </c>
      <c r="R142" s="1">
        <v>0.1</v>
      </c>
    </row>
    <row r="143" ht="15.75" customHeight="1">
      <c r="A143" s="1" t="s">
        <v>25</v>
      </c>
      <c r="B143" s="1">
        <v>142.0</v>
      </c>
      <c r="C143" s="1" t="s">
        <v>247</v>
      </c>
      <c r="D143" s="1" t="s">
        <v>243</v>
      </c>
      <c r="G143" s="1" t="s">
        <v>238</v>
      </c>
      <c r="K143" s="1" t="s">
        <v>24</v>
      </c>
      <c r="N143" s="1">
        <v>4.0</v>
      </c>
      <c r="O143" s="1">
        <v>9.0</v>
      </c>
      <c r="P143" s="1">
        <v>4.0</v>
      </c>
      <c r="Q143" s="1">
        <v>545.18</v>
      </c>
      <c r="R143" s="1">
        <v>0.1</v>
      </c>
    </row>
    <row r="144" ht="15.75" customHeight="1">
      <c r="A144" s="1" t="s">
        <v>25</v>
      </c>
      <c r="B144" s="1">
        <v>143.0</v>
      </c>
      <c r="C144" s="1" t="s">
        <v>178</v>
      </c>
      <c r="D144" s="1" t="s">
        <v>165</v>
      </c>
      <c r="G144" s="1" t="s">
        <v>182</v>
      </c>
      <c r="K144" s="1" t="s">
        <v>24</v>
      </c>
      <c r="N144" s="1">
        <v>5.0</v>
      </c>
      <c r="O144" s="1">
        <v>5.0</v>
      </c>
      <c r="P144" s="1">
        <v>5.0</v>
      </c>
      <c r="Q144" s="1">
        <v>527.61</v>
      </c>
      <c r="R144" s="1">
        <v>0.09</v>
      </c>
    </row>
    <row r="145" ht="15.75" customHeight="1">
      <c r="A145" s="1" t="s">
        <v>25</v>
      </c>
      <c r="B145" s="1">
        <v>144.0</v>
      </c>
      <c r="C145" s="1" t="s">
        <v>66</v>
      </c>
      <c r="D145" s="1" t="s">
        <v>22</v>
      </c>
      <c r="G145" s="1" t="s">
        <v>65</v>
      </c>
      <c r="K145" s="1" t="s">
        <v>24</v>
      </c>
      <c r="N145" s="1">
        <v>15.0</v>
      </c>
      <c r="O145" s="1">
        <v>15.0</v>
      </c>
      <c r="P145" s="1">
        <v>14.0</v>
      </c>
      <c r="Q145" s="1">
        <v>519.3</v>
      </c>
      <c r="R145" s="1">
        <v>0.09</v>
      </c>
    </row>
    <row r="146" ht="15.75" customHeight="1">
      <c r="A146" s="1" t="s">
        <v>25</v>
      </c>
      <c r="B146" s="1">
        <v>145.0</v>
      </c>
      <c r="C146" s="1" t="s">
        <v>191</v>
      </c>
      <c r="D146" s="1" t="s">
        <v>165</v>
      </c>
      <c r="G146" s="1" t="s">
        <v>192</v>
      </c>
      <c r="K146" s="1" t="s">
        <v>24</v>
      </c>
      <c r="N146" s="1">
        <v>133.0</v>
      </c>
      <c r="O146" s="1">
        <v>178.0</v>
      </c>
      <c r="P146" s="1">
        <v>129.0</v>
      </c>
      <c r="Q146" s="1">
        <v>514.12</v>
      </c>
      <c r="R146" s="1">
        <v>0.09</v>
      </c>
    </row>
    <row r="147" ht="15.75" customHeight="1">
      <c r="A147" s="1" t="s">
        <v>25</v>
      </c>
      <c r="B147" s="1">
        <v>146.0</v>
      </c>
      <c r="C147" s="1" t="s">
        <v>191</v>
      </c>
      <c r="D147" s="1" t="s">
        <v>199</v>
      </c>
      <c r="G147" s="1" t="s">
        <v>195</v>
      </c>
      <c r="K147" s="1" t="s">
        <v>24</v>
      </c>
      <c r="N147" s="1">
        <v>36.0</v>
      </c>
      <c r="O147" s="1">
        <v>71.0</v>
      </c>
      <c r="P147" s="1">
        <v>35.0</v>
      </c>
      <c r="Q147" s="1">
        <v>511.23</v>
      </c>
      <c r="R147" s="1">
        <v>0.09</v>
      </c>
    </row>
    <row r="148" ht="15.75" customHeight="1">
      <c r="A148" s="1" t="s">
        <v>25</v>
      </c>
      <c r="B148" s="1">
        <v>147.0</v>
      </c>
      <c r="C148" s="1" t="s">
        <v>272</v>
      </c>
      <c r="D148" s="1" t="s">
        <v>273</v>
      </c>
      <c r="G148" s="1" t="s">
        <v>161</v>
      </c>
      <c r="K148" s="1" t="s">
        <v>24</v>
      </c>
      <c r="N148" s="1">
        <v>12.0</v>
      </c>
      <c r="O148" s="1">
        <v>16.0</v>
      </c>
      <c r="P148" s="1">
        <v>9.0</v>
      </c>
      <c r="Q148" s="1">
        <v>501.59</v>
      </c>
      <c r="R148" s="1">
        <v>0.09</v>
      </c>
    </row>
    <row r="149" ht="15.75" customHeight="1">
      <c r="A149" s="1" t="s">
        <v>25</v>
      </c>
      <c r="B149" s="1">
        <v>148.0</v>
      </c>
      <c r="C149" s="1" t="s">
        <v>62</v>
      </c>
      <c r="D149" s="1" t="s">
        <v>22</v>
      </c>
      <c r="G149" s="1" t="s">
        <v>70</v>
      </c>
      <c r="K149" s="1" t="s">
        <v>24</v>
      </c>
      <c r="N149" s="1">
        <v>15.0</v>
      </c>
      <c r="O149" s="1">
        <v>15.0</v>
      </c>
      <c r="P149" s="1">
        <v>15.0</v>
      </c>
      <c r="Q149" s="1">
        <v>495.81</v>
      </c>
      <c r="R149" s="1">
        <v>0.09</v>
      </c>
    </row>
    <row r="150" ht="15.75" customHeight="1">
      <c r="A150" s="1" t="s">
        <v>25</v>
      </c>
      <c r="B150" s="1">
        <v>149.0</v>
      </c>
      <c r="C150" s="1" t="s">
        <v>242</v>
      </c>
      <c r="D150" s="1" t="s">
        <v>243</v>
      </c>
      <c r="G150" s="1" t="s">
        <v>249</v>
      </c>
      <c r="K150" s="1" t="s">
        <v>24</v>
      </c>
      <c r="N150" s="1">
        <v>2.0</v>
      </c>
      <c r="O150" s="1">
        <v>3.0</v>
      </c>
      <c r="P150" s="1">
        <v>2.0</v>
      </c>
      <c r="Q150" s="1">
        <v>479.97</v>
      </c>
      <c r="R150" s="1">
        <v>0.08</v>
      </c>
    </row>
    <row r="151" ht="15.75" customHeight="1">
      <c r="A151" s="1" t="s">
        <v>25</v>
      </c>
      <c r="B151" s="1">
        <v>150.0</v>
      </c>
      <c r="C151" s="1" t="s">
        <v>232</v>
      </c>
      <c r="D151" s="1" t="s">
        <v>226</v>
      </c>
      <c r="G151" s="1" t="s">
        <v>241</v>
      </c>
      <c r="K151" s="1" t="s">
        <v>24</v>
      </c>
      <c r="N151" s="1">
        <v>2.0</v>
      </c>
      <c r="O151" s="1">
        <v>16.0</v>
      </c>
      <c r="P151" s="1">
        <v>2.0</v>
      </c>
      <c r="Q151" s="1">
        <v>478.4</v>
      </c>
      <c r="R151" s="1">
        <v>0.08</v>
      </c>
    </row>
    <row r="152" ht="15.75" customHeight="1">
      <c r="A152" s="1" t="s">
        <v>25</v>
      </c>
      <c r="B152" s="1">
        <v>151.0</v>
      </c>
      <c r="C152" s="1" t="s">
        <v>218</v>
      </c>
      <c r="D152" s="1" t="s">
        <v>219</v>
      </c>
      <c r="G152" s="1" t="s">
        <v>224</v>
      </c>
      <c r="K152" s="1" t="s">
        <v>24</v>
      </c>
      <c r="N152" s="1">
        <v>12.0</v>
      </c>
      <c r="O152" s="1">
        <v>13.0</v>
      </c>
      <c r="P152" s="1">
        <v>11.0</v>
      </c>
      <c r="Q152" s="1">
        <v>456.47</v>
      </c>
      <c r="R152" s="1">
        <v>0.08</v>
      </c>
    </row>
    <row r="153" ht="15.75" customHeight="1">
      <c r="A153" s="1" t="s">
        <v>25</v>
      </c>
      <c r="B153" s="1">
        <v>152.0</v>
      </c>
      <c r="C153" s="1" t="s">
        <v>156</v>
      </c>
      <c r="D153" s="1" t="s">
        <v>157</v>
      </c>
      <c r="G153" s="1" t="s">
        <v>158</v>
      </c>
      <c r="K153" s="1" t="s">
        <v>24</v>
      </c>
      <c r="N153" s="1">
        <v>19.0</v>
      </c>
      <c r="O153" s="1">
        <v>19.0</v>
      </c>
      <c r="P153" s="1">
        <v>19.0</v>
      </c>
      <c r="Q153" s="1">
        <v>446.94</v>
      </c>
      <c r="R153" s="1">
        <v>0.08</v>
      </c>
    </row>
    <row r="154" ht="15.75" customHeight="1">
      <c r="A154" s="1" t="s">
        <v>25</v>
      </c>
      <c r="B154" s="1">
        <v>153.0</v>
      </c>
      <c r="C154" s="1" t="s">
        <v>202</v>
      </c>
      <c r="D154" s="1" t="s">
        <v>199</v>
      </c>
      <c r="G154" s="1" t="s">
        <v>203</v>
      </c>
      <c r="K154" s="1" t="s">
        <v>24</v>
      </c>
      <c r="N154" s="1">
        <v>14.0</v>
      </c>
      <c r="O154" s="1">
        <v>20.0</v>
      </c>
      <c r="P154" s="1">
        <v>9.0</v>
      </c>
      <c r="Q154" s="1">
        <v>446.79</v>
      </c>
      <c r="R154" s="1">
        <v>0.08</v>
      </c>
    </row>
    <row r="155" ht="15.75" customHeight="1">
      <c r="A155" s="1" t="s">
        <v>25</v>
      </c>
      <c r="B155" s="1">
        <v>154.0</v>
      </c>
      <c r="C155" s="1" t="s">
        <v>189</v>
      </c>
      <c r="D155" s="1" t="s">
        <v>165</v>
      </c>
      <c r="G155" s="1" t="s">
        <v>190</v>
      </c>
      <c r="K155" s="1" t="s">
        <v>24</v>
      </c>
      <c r="N155" s="1">
        <v>126.0</v>
      </c>
      <c r="O155" s="1">
        <v>160.0</v>
      </c>
      <c r="P155" s="1">
        <v>124.0</v>
      </c>
      <c r="Q155" s="1">
        <v>442.82</v>
      </c>
      <c r="R155" s="1">
        <v>0.08</v>
      </c>
    </row>
    <row r="156" ht="15.75" customHeight="1">
      <c r="A156" s="1" t="s">
        <v>25</v>
      </c>
      <c r="B156" s="1">
        <v>155.0</v>
      </c>
      <c r="C156" s="1" t="s">
        <v>40</v>
      </c>
      <c r="D156" s="1" t="s">
        <v>22</v>
      </c>
      <c r="G156" s="1" t="s">
        <v>39</v>
      </c>
      <c r="K156" s="1" t="s">
        <v>24</v>
      </c>
      <c r="N156" s="1">
        <v>8.0</v>
      </c>
      <c r="O156" s="1">
        <v>8.0</v>
      </c>
      <c r="P156" s="1">
        <v>8.0</v>
      </c>
      <c r="Q156" s="1">
        <v>439.06</v>
      </c>
      <c r="R156" s="1">
        <v>0.08</v>
      </c>
    </row>
    <row r="157" ht="15.75" customHeight="1">
      <c r="A157" s="1" t="s">
        <v>25</v>
      </c>
      <c r="B157" s="1">
        <v>156.0</v>
      </c>
      <c r="C157" s="1" t="s">
        <v>47</v>
      </c>
      <c r="D157" s="1" t="s">
        <v>22</v>
      </c>
      <c r="G157" s="1" t="s">
        <v>59</v>
      </c>
      <c r="K157" s="1" t="s">
        <v>24</v>
      </c>
      <c r="N157" s="1">
        <v>4.0</v>
      </c>
      <c r="O157" s="1">
        <v>6.0</v>
      </c>
      <c r="P157" s="1">
        <v>4.0</v>
      </c>
      <c r="Q157" s="1">
        <v>419.4</v>
      </c>
      <c r="R157" s="1">
        <v>0.07</v>
      </c>
    </row>
    <row r="158" ht="15.75" customHeight="1">
      <c r="A158" s="1" t="s">
        <v>25</v>
      </c>
      <c r="B158" s="1">
        <v>157.0</v>
      </c>
      <c r="C158" s="1" t="s">
        <v>189</v>
      </c>
      <c r="D158" s="1" t="s">
        <v>199</v>
      </c>
      <c r="G158" s="1" t="s">
        <v>200</v>
      </c>
      <c r="K158" s="1" t="s">
        <v>24</v>
      </c>
      <c r="N158" s="1">
        <v>51.0</v>
      </c>
      <c r="O158" s="1">
        <v>66.0</v>
      </c>
      <c r="P158" s="1">
        <v>49.0</v>
      </c>
      <c r="Q158" s="1">
        <v>403.15</v>
      </c>
      <c r="R158" s="1">
        <v>0.07</v>
      </c>
    </row>
    <row r="159" ht="15.75" customHeight="1">
      <c r="A159" s="1" t="s">
        <v>25</v>
      </c>
      <c r="B159" s="1">
        <v>158.0</v>
      </c>
      <c r="C159" s="1" t="s">
        <v>225</v>
      </c>
      <c r="D159" s="1" t="s">
        <v>226</v>
      </c>
      <c r="G159" s="1" t="s">
        <v>237</v>
      </c>
      <c r="K159" s="1" t="s">
        <v>24</v>
      </c>
      <c r="N159" s="1">
        <v>7.0</v>
      </c>
      <c r="O159" s="1">
        <v>14.0</v>
      </c>
      <c r="P159" s="1">
        <v>7.0</v>
      </c>
      <c r="Q159" s="1">
        <v>394.68</v>
      </c>
      <c r="R159" s="1">
        <v>0.07</v>
      </c>
    </row>
    <row r="160" ht="15.75" customHeight="1">
      <c r="A160" s="1" t="s">
        <v>25</v>
      </c>
      <c r="B160" s="1">
        <v>159.0</v>
      </c>
      <c r="C160" s="1" t="s">
        <v>205</v>
      </c>
      <c r="D160" s="1" t="s">
        <v>199</v>
      </c>
      <c r="G160" s="1" t="s">
        <v>206</v>
      </c>
      <c r="K160" s="1" t="s">
        <v>24</v>
      </c>
      <c r="N160" s="1">
        <v>14.0</v>
      </c>
      <c r="O160" s="1">
        <v>18.0</v>
      </c>
      <c r="P160" s="1">
        <v>12.0</v>
      </c>
      <c r="Q160" s="1">
        <v>389.37</v>
      </c>
      <c r="R160" s="1">
        <v>0.07</v>
      </c>
    </row>
    <row r="161" ht="15.75" customHeight="1">
      <c r="A161" s="1" t="s">
        <v>25</v>
      </c>
      <c r="B161" s="1">
        <v>160.0</v>
      </c>
      <c r="C161" s="1" t="s">
        <v>232</v>
      </c>
      <c r="D161" s="1" t="s">
        <v>226</v>
      </c>
      <c r="G161" s="1" t="s">
        <v>240</v>
      </c>
      <c r="K161" s="1" t="s">
        <v>24</v>
      </c>
      <c r="N161" s="1">
        <v>7.0</v>
      </c>
      <c r="O161" s="1">
        <v>12.0</v>
      </c>
      <c r="P161" s="1">
        <v>7.0</v>
      </c>
      <c r="Q161" s="1">
        <v>382.78</v>
      </c>
      <c r="R161" s="1">
        <v>0.07</v>
      </c>
    </row>
    <row r="162" ht="15.75" customHeight="1">
      <c r="A162" s="1" t="s">
        <v>25</v>
      </c>
      <c r="B162" s="1">
        <v>161.0</v>
      </c>
      <c r="C162" s="1" t="s">
        <v>191</v>
      </c>
      <c r="D162" s="1" t="s">
        <v>199</v>
      </c>
      <c r="G162" s="1" t="s">
        <v>201</v>
      </c>
      <c r="K162" s="1" t="s">
        <v>24</v>
      </c>
      <c r="N162" s="1">
        <v>51.0</v>
      </c>
      <c r="O162" s="1">
        <v>64.0</v>
      </c>
      <c r="P162" s="1">
        <v>49.0</v>
      </c>
      <c r="Q162" s="1">
        <v>380.46</v>
      </c>
      <c r="R162" s="1">
        <v>0.07</v>
      </c>
    </row>
    <row r="163" ht="15.75" customHeight="1">
      <c r="A163" s="1" t="s">
        <v>25</v>
      </c>
      <c r="B163" s="1">
        <v>162.0</v>
      </c>
      <c r="C163" s="1" t="s">
        <v>71</v>
      </c>
      <c r="D163" s="1" t="s">
        <v>22</v>
      </c>
      <c r="G163" s="1" t="s">
        <v>79</v>
      </c>
      <c r="K163" s="1" t="s">
        <v>24</v>
      </c>
      <c r="N163" s="1">
        <v>12.0</v>
      </c>
      <c r="O163" s="1">
        <v>12.0</v>
      </c>
      <c r="P163" s="1">
        <v>12.0</v>
      </c>
      <c r="Q163" s="1">
        <v>377.61</v>
      </c>
      <c r="R163" s="1">
        <v>0.07</v>
      </c>
    </row>
    <row r="164" ht="15.75" customHeight="1">
      <c r="A164" s="1" t="s">
        <v>25</v>
      </c>
      <c r="B164" s="1">
        <v>163.0</v>
      </c>
      <c r="C164" s="1" t="s">
        <v>144</v>
      </c>
      <c r="D164" s="1" t="s">
        <v>131</v>
      </c>
      <c r="G164" s="1" t="s">
        <v>143</v>
      </c>
      <c r="K164" s="1" t="s">
        <v>24</v>
      </c>
      <c r="N164" s="1">
        <v>3.0</v>
      </c>
      <c r="O164" s="1">
        <v>3.0</v>
      </c>
      <c r="P164" s="1">
        <v>3.0</v>
      </c>
      <c r="Q164" s="1">
        <v>376.78</v>
      </c>
      <c r="R164" s="1">
        <v>0.07</v>
      </c>
    </row>
    <row r="165" ht="15.75" customHeight="1">
      <c r="A165" s="1" t="s">
        <v>25</v>
      </c>
      <c r="B165" s="1">
        <v>164.0</v>
      </c>
      <c r="C165" s="1" t="s">
        <v>247</v>
      </c>
      <c r="D165" s="1" t="s">
        <v>243</v>
      </c>
      <c r="G165" s="1" t="s">
        <v>252</v>
      </c>
      <c r="K165" s="1" t="s">
        <v>24</v>
      </c>
      <c r="N165" s="1">
        <v>5.0</v>
      </c>
      <c r="O165" s="1">
        <v>6.0</v>
      </c>
      <c r="P165" s="1">
        <v>5.0</v>
      </c>
      <c r="Q165" s="1">
        <v>363.45</v>
      </c>
      <c r="R165" s="1">
        <v>0.06</v>
      </c>
    </row>
    <row r="166" ht="15.75" customHeight="1">
      <c r="A166" s="1" t="s">
        <v>25</v>
      </c>
      <c r="B166" s="1">
        <v>165.0</v>
      </c>
      <c r="C166" s="1" t="s">
        <v>246</v>
      </c>
      <c r="D166" s="1" t="s">
        <v>243</v>
      </c>
      <c r="G166" s="1" t="s">
        <v>251</v>
      </c>
      <c r="K166" s="1" t="s">
        <v>24</v>
      </c>
      <c r="N166" s="1">
        <v>4.0</v>
      </c>
      <c r="O166" s="1">
        <v>4.0</v>
      </c>
      <c r="P166" s="1">
        <v>4.0</v>
      </c>
      <c r="Q166" s="1">
        <v>359.6</v>
      </c>
      <c r="R166" s="1">
        <v>0.06</v>
      </c>
    </row>
    <row r="167" ht="15.75" customHeight="1">
      <c r="A167" s="1" t="s">
        <v>25</v>
      </c>
      <c r="B167" s="1">
        <v>166.0</v>
      </c>
      <c r="C167" s="1" t="s">
        <v>211</v>
      </c>
      <c r="D167" s="1" t="s">
        <v>209</v>
      </c>
      <c r="G167" s="1" t="s">
        <v>212</v>
      </c>
      <c r="K167" s="1" t="s">
        <v>24</v>
      </c>
      <c r="N167" s="1">
        <v>7.0</v>
      </c>
      <c r="O167" s="1">
        <v>7.0</v>
      </c>
      <c r="P167" s="1">
        <v>5.0</v>
      </c>
      <c r="Q167" s="1">
        <v>356.03</v>
      </c>
      <c r="R167" s="1">
        <v>0.06</v>
      </c>
    </row>
    <row r="168" ht="15.75" customHeight="1">
      <c r="A168" s="1" t="s">
        <v>25</v>
      </c>
      <c r="B168" s="1">
        <v>167.0</v>
      </c>
      <c r="C168" s="1" t="s">
        <v>271</v>
      </c>
      <c r="D168" s="1" t="s">
        <v>261</v>
      </c>
      <c r="G168" s="1" t="s">
        <v>270</v>
      </c>
      <c r="K168" s="1" t="s">
        <v>24</v>
      </c>
      <c r="N168" s="1">
        <v>3.0</v>
      </c>
      <c r="O168" s="1">
        <v>3.0</v>
      </c>
      <c r="P168" s="1">
        <v>2.0</v>
      </c>
      <c r="Q168" s="1">
        <v>355.68</v>
      </c>
      <c r="R168" s="1">
        <v>0.06</v>
      </c>
    </row>
    <row r="169" ht="15.75" customHeight="1">
      <c r="A169" s="1" t="s">
        <v>25</v>
      </c>
      <c r="B169" s="1">
        <v>168.0</v>
      </c>
      <c r="C169" s="1" t="s">
        <v>242</v>
      </c>
      <c r="D169" s="1" t="s">
        <v>243</v>
      </c>
      <c r="G169" s="1" t="s">
        <v>52</v>
      </c>
      <c r="K169" s="1" t="s">
        <v>24</v>
      </c>
      <c r="N169" s="1">
        <v>2.0</v>
      </c>
      <c r="O169" s="1">
        <v>3.0</v>
      </c>
      <c r="P169" s="1">
        <v>2.0</v>
      </c>
      <c r="Q169" s="1">
        <v>355.45</v>
      </c>
      <c r="R169" s="1">
        <v>0.06</v>
      </c>
    </row>
    <row r="170" ht="15.75" customHeight="1">
      <c r="A170" s="1" t="s">
        <v>25</v>
      </c>
      <c r="B170" s="1">
        <v>169.0</v>
      </c>
      <c r="C170" s="1" t="s">
        <v>215</v>
      </c>
      <c r="D170" s="1" t="s">
        <v>209</v>
      </c>
      <c r="G170" s="1" t="s">
        <v>216</v>
      </c>
      <c r="K170" s="1" t="s">
        <v>24</v>
      </c>
      <c r="N170" s="1">
        <v>4.0</v>
      </c>
      <c r="O170" s="1">
        <v>4.0</v>
      </c>
      <c r="P170" s="1">
        <v>4.0</v>
      </c>
      <c r="Q170" s="1">
        <v>352.51</v>
      </c>
      <c r="R170" s="1">
        <v>0.06</v>
      </c>
    </row>
    <row r="171" ht="15.75" customHeight="1">
      <c r="A171" s="1" t="s">
        <v>25</v>
      </c>
      <c r="B171" s="1">
        <v>170.0</v>
      </c>
      <c r="C171" s="1" t="s">
        <v>266</v>
      </c>
      <c r="D171" s="1" t="s">
        <v>261</v>
      </c>
      <c r="G171" s="1" t="s">
        <v>267</v>
      </c>
      <c r="K171" s="1" t="s">
        <v>24</v>
      </c>
      <c r="N171" s="1">
        <v>5.0</v>
      </c>
      <c r="O171" s="1">
        <v>5.0</v>
      </c>
      <c r="P171" s="1">
        <v>4.0</v>
      </c>
      <c r="Q171" s="1">
        <v>340.0</v>
      </c>
      <c r="R171" s="1">
        <v>0.06</v>
      </c>
    </row>
    <row r="172" ht="15.75" customHeight="1">
      <c r="A172" s="1" t="s">
        <v>277</v>
      </c>
      <c r="B172" s="1">
        <v>171.0</v>
      </c>
      <c r="C172" s="1" t="s">
        <v>278</v>
      </c>
      <c r="D172" s="1" t="s">
        <v>165</v>
      </c>
      <c r="F172" s="1" t="s">
        <v>279</v>
      </c>
      <c r="G172" s="1" t="s">
        <v>345</v>
      </c>
      <c r="J172" s="1">
        <v>18.16</v>
      </c>
      <c r="K172" s="1" t="s">
        <v>280</v>
      </c>
      <c r="N172" s="1">
        <v>3.0</v>
      </c>
      <c r="O172" s="1">
        <v>4.0</v>
      </c>
      <c r="P172" s="1">
        <v>3.0</v>
      </c>
      <c r="Q172" s="1">
        <v>337.66</v>
      </c>
      <c r="R172" s="1">
        <v>0.06</v>
      </c>
    </row>
    <row r="173" ht="15.75" customHeight="1">
      <c r="A173" s="1" t="s">
        <v>25</v>
      </c>
      <c r="B173" s="1">
        <v>172.0</v>
      </c>
      <c r="C173" s="1" t="s">
        <v>255</v>
      </c>
      <c r="D173" s="1" t="s">
        <v>254</v>
      </c>
      <c r="G173" s="1" t="s">
        <v>256</v>
      </c>
      <c r="K173" s="1" t="s">
        <v>24</v>
      </c>
      <c r="N173" s="1">
        <v>8.0</v>
      </c>
      <c r="O173" s="1">
        <v>9.0</v>
      </c>
      <c r="P173" s="1">
        <v>8.0</v>
      </c>
      <c r="Q173" s="1">
        <v>336.7</v>
      </c>
      <c r="R173" s="1">
        <v>0.06</v>
      </c>
    </row>
    <row r="174" ht="15.75" customHeight="1">
      <c r="A174" s="1" t="s">
        <v>25</v>
      </c>
      <c r="B174" s="1">
        <v>173.0</v>
      </c>
      <c r="C174" s="1" t="s">
        <v>242</v>
      </c>
      <c r="D174" s="1" t="s">
        <v>243</v>
      </c>
      <c r="G174" s="1" t="s">
        <v>250</v>
      </c>
      <c r="K174" s="1" t="s">
        <v>24</v>
      </c>
      <c r="N174" s="1">
        <v>5.0</v>
      </c>
      <c r="O174" s="1">
        <v>5.0</v>
      </c>
      <c r="P174" s="1">
        <v>5.0</v>
      </c>
      <c r="Q174" s="1">
        <v>332.2</v>
      </c>
      <c r="R174" s="1">
        <v>0.06</v>
      </c>
    </row>
    <row r="175" ht="15.75" customHeight="1">
      <c r="A175" s="1" t="s">
        <v>25</v>
      </c>
      <c r="B175" s="1">
        <v>174.0</v>
      </c>
      <c r="C175" s="1" t="s">
        <v>122</v>
      </c>
      <c r="D175" s="1" t="s">
        <v>115</v>
      </c>
      <c r="G175" s="1" t="s">
        <v>126</v>
      </c>
      <c r="K175" s="1" t="s">
        <v>24</v>
      </c>
      <c r="N175" s="1">
        <v>12.0</v>
      </c>
      <c r="O175" s="1">
        <v>16.0</v>
      </c>
      <c r="P175" s="1">
        <v>10.0</v>
      </c>
      <c r="Q175" s="1">
        <v>331.94</v>
      </c>
      <c r="R175" s="1">
        <v>0.06</v>
      </c>
    </row>
    <row r="176" ht="15.75" customHeight="1">
      <c r="A176" s="1" t="s">
        <v>25</v>
      </c>
      <c r="B176" s="1">
        <v>175.0</v>
      </c>
      <c r="C176" s="1" t="s">
        <v>124</v>
      </c>
      <c r="D176" s="1" t="s">
        <v>115</v>
      </c>
      <c r="G176" s="1" t="s">
        <v>128</v>
      </c>
      <c r="K176" s="1" t="s">
        <v>24</v>
      </c>
      <c r="N176" s="1">
        <v>14.0</v>
      </c>
      <c r="O176" s="1">
        <v>15.0</v>
      </c>
      <c r="P176" s="1">
        <v>10.0</v>
      </c>
      <c r="Q176" s="1">
        <v>329.79</v>
      </c>
      <c r="R176" s="1">
        <v>0.06</v>
      </c>
    </row>
    <row r="177" ht="15.75" customHeight="1">
      <c r="A177" s="1" t="s">
        <v>25</v>
      </c>
      <c r="B177" s="1">
        <v>176.0</v>
      </c>
      <c r="C177" s="1" t="s">
        <v>247</v>
      </c>
      <c r="D177" s="1" t="s">
        <v>243</v>
      </c>
      <c r="G177" s="1" t="s">
        <v>55</v>
      </c>
      <c r="K177" s="1" t="s">
        <v>24</v>
      </c>
      <c r="N177" s="1">
        <v>1.0</v>
      </c>
      <c r="O177" s="1">
        <v>2.0</v>
      </c>
      <c r="P177" s="1">
        <v>1.0</v>
      </c>
      <c r="Q177" s="1">
        <v>319.98</v>
      </c>
      <c r="R177" s="1">
        <v>0.06</v>
      </c>
    </row>
    <row r="178" ht="15.75" customHeight="1">
      <c r="A178" s="1" t="s">
        <v>25</v>
      </c>
      <c r="B178" s="1">
        <v>177.0</v>
      </c>
      <c r="C178" s="1" t="s">
        <v>221</v>
      </c>
      <c r="D178" s="1" t="s">
        <v>219</v>
      </c>
      <c r="G178" s="1" t="s">
        <v>222</v>
      </c>
      <c r="K178" s="1" t="s">
        <v>24</v>
      </c>
      <c r="N178" s="1">
        <v>5.0</v>
      </c>
      <c r="O178" s="1">
        <v>9.0</v>
      </c>
      <c r="P178" s="1">
        <v>4.0</v>
      </c>
      <c r="Q178" s="1">
        <v>319.08</v>
      </c>
      <c r="R178" s="1">
        <v>0.06</v>
      </c>
    </row>
    <row r="179" ht="15.75" customHeight="1">
      <c r="A179" s="1" t="s">
        <v>25</v>
      </c>
      <c r="B179" s="1">
        <v>178.0</v>
      </c>
      <c r="C179" s="1" t="s">
        <v>225</v>
      </c>
      <c r="D179" s="1" t="s">
        <v>226</v>
      </c>
      <c r="G179" s="1" t="s">
        <v>236</v>
      </c>
      <c r="K179" s="1" t="s">
        <v>24</v>
      </c>
      <c r="N179" s="1">
        <v>8.0</v>
      </c>
      <c r="O179" s="1">
        <v>10.0</v>
      </c>
      <c r="P179" s="1">
        <v>8.0</v>
      </c>
      <c r="Q179" s="1">
        <v>317.79</v>
      </c>
      <c r="R179" s="1">
        <v>0.06</v>
      </c>
    </row>
    <row r="180" ht="15.75" customHeight="1">
      <c r="A180" s="1" t="s">
        <v>25</v>
      </c>
      <c r="B180" s="1">
        <v>179.0</v>
      </c>
      <c r="C180" s="1" t="s">
        <v>191</v>
      </c>
      <c r="D180" s="1" t="s">
        <v>165</v>
      </c>
      <c r="G180" s="1" t="s">
        <v>195</v>
      </c>
      <c r="K180" s="1" t="s">
        <v>24</v>
      </c>
      <c r="N180" s="1">
        <v>49.0</v>
      </c>
      <c r="O180" s="1">
        <v>72.0</v>
      </c>
      <c r="P180" s="1">
        <v>47.0</v>
      </c>
      <c r="Q180" s="1">
        <v>298.97</v>
      </c>
      <c r="R180" s="1">
        <v>0.05</v>
      </c>
    </row>
    <row r="181" ht="15.75" customHeight="1">
      <c r="A181" s="1" t="s">
        <v>25</v>
      </c>
      <c r="B181" s="1">
        <v>180.0</v>
      </c>
      <c r="C181" s="1" t="s">
        <v>72</v>
      </c>
      <c r="D181" s="1" t="s">
        <v>22</v>
      </c>
      <c r="G181" s="1" t="s">
        <v>73</v>
      </c>
      <c r="K181" s="1" t="s">
        <v>24</v>
      </c>
      <c r="N181" s="1">
        <v>9.0</v>
      </c>
      <c r="O181" s="1">
        <v>9.0</v>
      </c>
      <c r="P181" s="1">
        <v>9.0</v>
      </c>
      <c r="Q181" s="1">
        <v>279.1</v>
      </c>
      <c r="R181" s="1">
        <v>0.05</v>
      </c>
    </row>
    <row r="182" ht="15.75" customHeight="1">
      <c r="A182" s="1" t="s">
        <v>25</v>
      </c>
      <c r="B182" s="1">
        <v>181.0</v>
      </c>
      <c r="C182" s="1" t="s">
        <v>86</v>
      </c>
      <c r="D182" s="1" t="s">
        <v>87</v>
      </c>
      <c r="G182" s="1" t="s">
        <v>110</v>
      </c>
      <c r="K182" s="1" t="s">
        <v>24</v>
      </c>
      <c r="N182" s="1">
        <v>6.0</v>
      </c>
      <c r="O182" s="1">
        <v>6.0</v>
      </c>
      <c r="P182" s="1">
        <v>6.0</v>
      </c>
      <c r="Q182" s="1">
        <v>278.89</v>
      </c>
      <c r="R182" s="1">
        <v>0.05</v>
      </c>
    </row>
    <row r="183" ht="15.75" customHeight="1">
      <c r="A183" s="1" t="s">
        <v>25</v>
      </c>
      <c r="B183" s="1">
        <v>182.0</v>
      </c>
      <c r="C183" s="1" t="s">
        <v>189</v>
      </c>
      <c r="D183" s="1" t="s">
        <v>199</v>
      </c>
      <c r="G183" s="1" t="s">
        <v>194</v>
      </c>
      <c r="K183" s="1" t="s">
        <v>24</v>
      </c>
      <c r="N183" s="1">
        <v>32.0</v>
      </c>
      <c r="O183" s="1">
        <v>45.0</v>
      </c>
      <c r="P183" s="1">
        <v>31.0</v>
      </c>
      <c r="Q183" s="1">
        <v>275.22</v>
      </c>
      <c r="R183" s="1">
        <v>0.05</v>
      </c>
    </row>
    <row r="184" ht="15.75" customHeight="1">
      <c r="A184" s="1" t="s">
        <v>25</v>
      </c>
      <c r="B184" s="1">
        <v>183.0</v>
      </c>
      <c r="C184" s="1" t="s">
        <v>99</v>
      </c>
      <c r="D184" s="1" t="s">
        <v>115</v>
      </c>
      <c r="G184" s="1" t="s">
        <v>119</v>
      </c>
      <c r="K184" s="1" t="s">
        <v>24</v>
      </c>
      <c r="N184" s="1">
        <v>36.0</v>
      </c>
      <c r="O184" s="1">
        <v>41.0</v>
      </c>
      <c r="P184" s="1">
        <v>32.0</v>
      </c>
      <c r="Q184" s="1">
        <v>268.26</v>
      </c>
      <c r="R184" s="1">
        <v>0.05</v>
      </c>
    </row>
    <row r="185" ht="15.75" customHeight="1">
      <c r="A185" s="1" t="s">
        <v>25</v>
      </c>
      <c r="B185" s="1">
        <v>184.0</v>
      </c>
      <c r="C185" s="1" t="s">
        <v>97</v>
      </c>
      <c r="D185" s="1" t="s">
        <v>115</v>
      </c>
      <c r="G185" s="1" t="s">
        <v>118</v>
      </c>
      <c r="K185" s="1" t="s">
        <v>24</v>
      </c>
      <c r="N185" s="1">
        <v>37.0</v>
      </c>
      <c r="O185" s="1">
        <v>44.0</v>
      </c>
      <c r="P185" s="1">
        <v>33.0</v>
      </c>
      <c r="Q185" s="1">
        <v>260.98</v>
      </c>
      <c r="R185" s="1">
        <v>0.05</v>
      </c>
    </row>
    <row r="186" ht="15.75" customHeight="1">
      <c r="A186" s="1" t="s">
        <v>25</v>
      </c>
      <c r="B186" s="1">
        <v>185.0</v>
      </c>
      <c r="C186" s="1" t="s">
        <v>72</v>
      </c>
      <c r="D186" s="1" t="s">
        <v>22</v>
      </c>
      <c r="G186" s="1" t="s">
        <v>76</v>
      </c>
      <c r="K186" s="1" t="s">
        <v>24</v>
      </c>
      <c r="N186" s="1">
        <v>8.0</v>
      </c>
      <c r="O186" s="1">
        <v>8.0</v>
      </c>
      <c r="P186" s="1">
        <v>8.0</v>
      </c>
      <c r="Q186" s="1">
        <v>234.72</v>
      </c>
      <c r="R186" s="1">
        <v>0.04</v>
      </c>
    </row>
    <row r="187" ht="15.75" customHeight="1">
      <c r="A187" s="1" t="s">
        <v>277</v>
      </c>
      <c r="B187" s="1">
        <v>186.0</v>
      </c>
      <c r="C187" s="1" t="s">
        <v>327</v>
      </c>
      <c r="D187" s="1" t="s">
        <v>199</v>
      </c>
      <c r="F187" s="1" t="s">
        <v>328</v>
      </c>
      <c r="G187" s="1" t="s">
        <v>346</v>
      </c>
      <c r="J187" s="1">
        <v>0.83</v>
      </c>
      <c r="K187" s="1" t="s">
        <v>280</v>
      </c>
      <c r="N187" s="1">
        <v>12.0</v>
      </c>
      <c r="O187" s="1">
        <v>16.0</v>
      </c>
      <c r="P187" s="1">
        <v>12.0</v>
      </c>
      <c r="Q187" s="1">
        <v>233.36</v>
      </c>
      <c r="R187" s="1">
        <v>0.04</v>
      </c>
    </row>
    <row r="188" ht="15.75" customHeight="1">
      <c r="A188" s="1" t="s">
        <v>277</v>
      </c>
      <c r="B188" s="1">
        <v>187.0</v>
      </c>
      <c r="C188" s="1" t="s">
        <v>331</v>
      </c>
      <c r="D188" s="1" t="s">
        <v>199</v>
      </c>
      <c r="F188" s="1" t="s">
        <v>332</v>
      </c>
      <c r="G188" s="1" t="s">
        <v>347</v>
      </c>
      <c r="J188" s="1">
        <v>4.15</v>
      </c>
      <c r="K188" s="1" t="s">
        <v>280</v>
      </c>
      <c r="N188" s="1">
        <v>4.0</v>
      </c>
      <c r="O188" s="1">
        <v>4.0</v>
      </c>
      <c r="P188" s="1">
        <v>4.0</v>
      </c>
      <c r="Q188" s="1">
        <v>229.9</v>
      </c>
      <c r="R188" s="1">
        <v>0.04</v>
      </c>
    </row>
    <row r="189" ht="15.75" customHeight="1">
      <c r="A189" s="1" t="s">
        <v>25</v>
      </c>
      <c r="B189" s="1">
        <v>188.0</v>
      </c>
      <c r="C189" s="1" t="s">
        <v>72</v>
      </c>
      <c r="D189" s="1" t="s">
        <v>22</v>
      </c>
      <c r="G189" s="1" t="s">
        <v>75</v>
      </c>
      <c r="K189" s="1" t="s">
        <v>24</v>
      </c>
      <c r="N189" s="1">
        <v>10.0</v>
      </c>
      <c r="O189" s="1">
        <v>12.0</v>
      </c>
      <c r="P189" s="1">
        <v>10.0</v>
      </c>
      <c r="Q189" s="1">
        <v>228.0</v>
      </c>
      <c r="R189" s="1">
        <v>0.04</v>
      </c>
    </row>
    <row r="190" ht="15.75" customHeight="1">
      <c r="A190" s="1" t="s">
        <v>277</v>
      </c>
      <c r="B190" s="1">
        <v>189.0</v>
      </c>
      <c r="C190" s="1" t="s">
        <v>348</v>
      </c>
      <c r="D190" s="1" t="s">
        <v>151</v>
      </c>
      <c r="E190" s="1" t="s">
        <v>349</v>
      </c>
      <c r="F190" s="1" t="s">
        <v>350</v>
      </c>
      <c r="G190" s="1" t="s">
        <v>152</v>
      </c>
      <c r="H190" s="1" t="s">
        <v>284</v>
      </c>
      <c r="J190" s="1">
        <v>0.21</v>
      </c>
      <c r="K190" s="1" t="s">
        <v>280</v>
      </c>
      <c r="N190" s="1">
        <v>21.0</v>
      </c>
      <c r="O190" s="1">
        <v>47.0</v>
      </c>
      <c r="P190" s="1">
        <v>18.0</v>
      </c>
      <c r="Q190" s="1">
        <v>224.49</v>
      </c>
      <c r="R190" s="1">
        <v>0.04</v>
      </c>
    </row>
    <row r="191" ht="15.75" customHeight="1">
      <c r="A191" s="1" t="s">
        <v>25</v>
      </c>
      <c r="B191" s="1">
        <v>190.0</v>
      </c>
      <c r="C191" s="1" t="s">
        <v>253</v>
      </c>
      <c r="D191" s="1" t="s">
        <v>254</v>
      </c>
      <c r="G191" s="1" t="s">
        <v>258</v>
      </c>
      <c r="K191" s="1" t="s">
        <v>24</v>
      </c>
      <c r="N191" s="1">
        <v>5.0</v>
      </c>
      <c r="O191" s="1">
        <v>5.0</v>
      </c>
      <c r="P191" s="1">
        <v>5.0</v>
      </c>
      <c r="Q191" s="1">
        <v>214.5</v>
      </c>
      <c r="R191" s="1">
        <v>0.04</v>
      </c>
    </row>
    <row r="192" ht="15.75" customHeight="1">
      <c r="A192" s="1" t="s">
        <v>25</v>
      </c>
      <c r="B192" s="1">
        <v>191.0</v>
      </c>
      <c r="C192" s="1" t="s">
        <v>229</v>
      </c>
      <c r="D192" s="1" t="s">
        <v>226</v>
      </c>
      <c r="G192" s="1" t="s">
        <v>238</v>
      </c>
      <c r="K192" s="1" t="s">
        <v>24</v>
      </c>
      <c r="N192" s="1">
        <v>2.0</v>
      </c>
      <c r="O192" s="1">
        <v>7.0</v>
      </c>
      <c r="P192" s="1">
        <v>2.0</v>
      </c>
      <c r="Q192" s="1">
        <v>209.3</v>
      </c>
      <c r="R192" s="1">
        <v>0.04</v>
      </c>
    </row>
    <row r="193" ht="15.75" customHeight="1">
      <c r="A193" s="1" t="s">
        <v>25</v>
      </c>
      <c r="B193" s="1">
        <v>192.0</v>
      </c>
      <c r="C193" s="1" t="s">
        <v>72</v>
      </c>
      <c r="D193" s="1" t="s">
        <v>22</v>
      </c>
      <c r="G193" s="1" t="s">
        <v>84</v>
      </c>
      <c r="K193" s="1" t="s">
        <v>24</v>
      </c>
      <c r="N193" s="1">
        <v>3.0</v>
      </c>
      <c r="O193" s="1">
        <v>3.0</v>
      </c>
      <c r="P193" s="1">
        <v>3.0</v>
      </c>
      <c r="Q193" s="1">
        <v>195.89</v>
      </c>
      <c r="R193" s="1">
        <v>0.03</v>
      </c>
    </row>
    <row r="194" ht="15.75" customHeight="1">
      <c r="A194" s="1" t="s">
        <v>25</v>
      </c>
      <c r="B194" s="1">
        <v>193.0</v>
      </c>
      <c r="C194" s="1" t="s">
        <v>188</v>
      </c>
      <c r="D194" s="1" t="s">
        <v>165</v>
      </c>
      <c r="G194" s="1" t="s">
        <v>187</v>
      </c>
      <c r="K194" s="1" t="s">
        <v>24</v>
      </c>
      <c r="N194" s="1">
        <v>1.0</v>
      </c>
      <c r="O194" s="1">
        <v>1.0</v>
      </c>
      <c r="P194" s="1">
        <v>1.0</v>
      </c>
      <c r="Q194" s="1">
        <v>193.5</v>
      </c>
      <c r="R194" s="1">
        <v>0.03</v>
      </c>
    </row>
    <row r="195" ht="15.75" customHeight="1">
      <c r="A195" s="1" t="s">
        <v>25</v>
      </c>
      <c r="B195" s="1">
        <v>194.0</v>
      </c>
      <c r="C195" s="1" t="s">
        <v>67</v>
      </c>
      <c r="D195" s="1" t="s">
        <v>22</v>
      </c>
      <c r="G195" s="1" t="s">
        <v>68</v>
      </c>
      <c r="K195" s="1" t="s">
        <v>24</v>
      </c>
      <c r="N195" s="1">
        <v>5.0</v>
      </c>
      <c r="O195" s="1">
        <v>5.0</v>
      </c>
      <c r="P195" s="1">
        <v>5.0</v>
      </c>
      <c r="Q195" s="1">
        <v>191.92</v>
      </c>
      <c r="R195" s="1">
        <v>0.03</v>
      </c>
    </row>
    <row r="196" ht="15.75" customHeight="1">
      <c r="A196" s="1" t="s">
        <v>25</v>
      </c>
      <c r="B196" s="1">
        <v>195.0</v>
      </c>
      <c r="C196" s="1" t="s">
        <v>189</v>
      </c>
      <c r="D196" s="1" t="s">
        <v>165</v>
      </c>
      <c r="G196" s="1" t="s">
        <v>194</v>
      </c>
      <c r="K196" s="1" t="s">
        <v>24</v>
      </c>
      <c r="N196" s="1">
        <v>31.0</v>
      </c>
      <c r="O196" s="1">
        <v>49.0</v>
      </c>
      <c r="P196" s="1">
        <v>30.0</v>
      </c>
      <c r="Q196" s="1">
        <v>191.14</v>
      </c>
      <c r="R196" s="1">
        <v>0.03</v>
      </c>
    </row>
    <row r="197" ht="15.75" customHeight="1">
      <c r="A197" s="1" t="s">
        <v>25</v>
      </c>
      <c r="B197" s="1">
        <v>196.0</v>
      </c>
      <c r="C197" s="1" t="s">
        <v>162</v>
      </c>
      <c r="D197" s="1" t="s">
        <v>160</v>
      </c>
      <c r="G197" s="1" t="s">
        <v>161</v>
      </c>
      <c r="K197" s="1" t="s">
        <v>24</v>
      </c>
      <c r="N197" s="1">
        <v>7.0</v>
      </c>
      <c r="O197" s="1">
        <v>9.0</v>
      </c>
      <c r="P197" s="1">
        <v>6.0</v>
      </c>
      <c r="Q197" s="1">
        <v>187.44</v>
      </c>
      <c r="R197" s="1">
        <v>0.03</v>
      </c>
    </row>
    <row r="198" ht="15.75" customHeight="1">
      <c r="A198" s="1" t="s">
        <v>277</v>
      </c>
      <c r="B198" s="1">
        <v>197.0</v>
      </c>
      <c r="C198" s="1" t="s">
        <v>329</v>
      </c>
      <c r="D198" s="1" t="s">
        <v>115</v>
      </c>
      <c r="F198" s="1" t="s">
        <v>330</v>
      </c>
      <c r="G198" s="1" t="s">
        <v>351</v>
      </c>
      <c r="J198" s="1">
        <v>5.25</v>
      </c>
      <c r="K198" s="1" t="s">
        <v>280</v>
      </c>
      <c r="N198" s="1">
        <v>3.0</v>
      </c>
      <c r="O198" s="1">
        <v>4.0</v>
      </c>
      <c r="P198" s="1">
        <v>3.0</v>
      </c>
      <c r="Q198" s="1">
        <v>175.58</v>
      </c>
      <c r="R198" s="1">
        <v>0.03</v>
      </c>
    </row>
    <row r="199" ht="15.75" customHeight="1">
      <c r="A199" s="1" t="s">
        <v>25</v>
      </c>
      <c r="B199" s="1">
        <v>198.0</v>
      </c>
      <c r="C199" s="1" t="s">
        <v>255</v>
      </c>
      <c r="D199" s="1" t="s">
        <v>254</v>
      </c>
      <c r="G199" s="1" t="s">
        <v>223</v>
      </c>
      <c r="K199" s="1" t="s">
        <v>24</v>
      </c>
      <c r="N199" s="1">
        <v>2.0</v>
      </c>
      <c r="O199" s="1">
        <v>3.0</v>
      </c>
      <c r="P199" s="1">
        <v>2.0</v>
      </c>
      <c r="Q199" s="1">
        <v>172.31</v>
      </c>
      <c r="R199" s="1">
        <v>0.03</v>
      </c>
    </row>
    <row r="200" ht="15.75" customHeight="1">
      <c r="A200" s="1" t="s">
        <v>25</v>
      </c>
      <c r="B200" s="1">
        <v>199.0</v>
      </c>
      <c r="C200" s="1" t="s">
        <v>221</v>
      </c>
      <c r="D200" s="1" t="s">
        <v>219</v>
      </c>
      <c r="G200" s="1" t="s">
        <v>224</v>
      </c>
      <c r="K200" s="1" t="s">
        <v>24</v>
      </c>
      <c r="N200" s="1">
        <v>5.0</v>
      </c>
      <c r="O200" s="1">
        <v>5.0</v>
      </c>
      <c r="P200" s="1">
        <v>4.0</v>
      </c>
      <c r="Q200" s="1">
        <v>167.43</v>
      </c>
      <c r="R200" s="1">
        <v>0.03</v>
      </c>
    </row>
    <row r="201" ht="15.75" customHeight="1">
      <c r="A201" s="1" t="s">
        <v>25</v>
      </c>
      <c r="B201" s="1">
        <v>200.0</v>
      </c>
      <c r="C201" s="1" t="s">
        <v>272</v>
      </c>
      <c r="D201" s="1" t="s">
        <v>273</v>
      </c>
      <c r="G201" s="1" t="s">
        <v>276</v>
      </c>
      <c r="K201" s="1" t="s">
        <v>24</v>
      </c>
      <c r="N201" s="1">
        <v>5.0</v>
      </c>
      <c r="O201" s="1">
        <v>5.0</v>
      </c>
      <c r="P201" s="1">
        <v>5.0</v>
      </c>
      <c r="Q201" s="1">
        <v>165.5</v>
      </c>
      <c r="R201" s="1">
        <v>0.03</v>
      </c>
    </row>
    <row r="202" ht="15.75" customHeight="1">
      <c r="A202" s="1" t="s">
        <v>25</v>
      </c>
      <c r="B202" s="1">
        <v>201.0</v>
      </c>
      <c r="C202" s="1" t="s">
        <v>111</v>
      </c>
      <c r="D202" s="1" t="s">
        <v>87</v>
      </c>
      <c r="G202" s="1" t="s">
        <v>110</v>
      </c>
      <c r="K202" s="1" t="s">
        <v>24</v>
      </c>
      <c r="N202" s="1">
        <v>4.0</v>
      </c>
      <c r="O202" s="1">
        <v>4.0</v>
      </c>
      <c r="P202" s="1">
        <v>4.0</v>
      </c>
      <c r="Q202" s="1">
        <v>164.35</v>
      </c>
      <c r="R202" s="1">
        <v>0.03</v>
      </c>
    </row>
    <row r="203" ht="15.75" customHeight="1">
      <c r="A203" s="1" t="s">
        <v>25</v>
      </c>
      <c r="B203" s="1">
        <v>202.0</v>
      </c>
      <c r="C203" s="1" t="s">
        <v>164</v>
      </c>
      <c r="D203" s="1" t="s">
        <v>165</v>
      </c>
      <c r="G203" s="1" t="s">
        <v>170</v>
      </c>
      <c r="K203" s="1" t="s">
        <v>24</v>
      </c>
      <c r="N203" s="1">
        <v>3.0</v>
      </c>
      <c r="O203" s="1">
        <v>3.0</v>
      </c>
      <c r="P203" s="1">
        <v>3.0</v>
      </c>
      <c r="Q203" s="1">
        <v>161.35</v>
      </c>
      <c r="R203" s="1">
        <v>0.03</v>
      </c>
    </row>
    <row r="204" ht="15.75" customHeight="1">
      <c r="A204" s="1" t="s">
        <v>25</v>
      </c>
      <c r="B204" s="1">
        <v>203.0</v>
      </c>
      <c r="C204" s="1" t="s">
        <v>69</v>
      </c>
      <c r="D204" s="1" t="s">
        <v>22</v>
      </c>
      <c r="G204" s="1" t="s">
        <v>78</v>
      </c>
      <c r="K204" s="1" t="s">
        <v>24</v>
      </c>
      <c r="N204" s="1">
        <v>4.0</v>
      </c>
      <c r="O204" s="1">
        <v>4.0</v>
      </c>
      <c r="P204" s="1">
        <v>4.0</v>
      </c>
      <c r="Q204" s="1">
        <v>155.61</v>
      </c>
      <c r="R204" s="1">
        <v>0.03</v>
      </c>
    </row>
    <row r="205" ht="15.75" customHeight="1">
      <c r="A205" s="1" t="s">
        <v>25</v>
      </c>
      <c r="B205" s="1">
        <v>204.0</v>
      </c>
      <c r="C205" s="1" t="s">
        <v>207</v>
      </c>
      <c r="D205" s="1" t="s">
        <v>199</v>
      </c>
      <c r="G205" s="1" t="s">
        <v>206</v>
      </c>
      <c r="K205" s="1" t="s">
        <v>24</v>
      </c>
      <c r="N205" s="1">
        <v>5.0</v>
      </c>
      <c r="O205" s="1">
        <v>7.0</v>
      </c>
      <c r="P205" s="1">
        <v>4.0</v>
      </c>
      <c r="Q205" s="1">
        <v>154.99</v>
      </c>
      <c r="R205" s="1">
        <v>0.03</v>
      </c>
    </row>
    <row r="206" ht="15.75" customHeight="1">
      <c r="A206" s="1" t="s">
        <v>25</v>
      </c>
      <c r="B206" s="1">
        <v>205.0</v>
      </c>
      <c r="C206" s="1" t="s">
        <v>232</v>
      </c>
      <c r="D206" s="1" t="s">
        <v>226</v>
      </c>
      <c r="G206" s="1" t="s">
        <v>235</v>
      </c>
      <c r="K206" s="1" t="s">
        <v>24</v>
      </c>
      <c r="N206" s="1">
        <v>3.0</v>
      </c>
      <c r="O206" s="1">
        <v>3.0</v>
      </c>
      <c r="P206" s="1">
        <v>3.0</v>
      </c>
      <c r="Q206" s="1">
        <v>139.89</v>
      </c>
      <c r="R206" s="1">
        <v>0.02</v>
      </c>
    </row>
    <row r="207" ht="15.75" customHeight="1">
      <c r="A207" s="1" t="s">
        <v>277</v>
      </c>
      <c r="B207" s="1">
        <v>206.0</v>
      </c>
      <c r="C207" s="1" t="s">
        <v>285</v>
      </c>
      <c r="D207" s="1" t="s">
        <v>87</v>
      </c>
      <c r="F207" s="1" t="s">
        <v>286</v>
      </c>
      <c r="G207" s="1" t="s">
        <v>352</v>
      </c>
      <c r="J207" s="1">
        <v>18.39</v>
      </c>
      <c r="K207" s="1" t="s">
        <v>280</v>
      </c>
      <c r="N207" s="1">
        <v>2.0</v>
      </c>
      <c r="O207" s="1">
        <v>2.0</v>
      </c>
      <c r="P207" s="1">
        <v>2.0</v>
      </c>
      <c r="Q207" s="1">
        <v>136.31</v>
      </c>
      <c r="R207" s="1">
        <v>0.02</v>
      </c>
    </row>
    <row r="208" ht="15.75" customHeight="1">
      <c r="A208" s="1" t="s">
        <v>25</v>
      </c>
      <c r="B208" s="1">
        <v>207.0</v>
      </c>
      <c r="C208" s="1" t="s">
        <v>268</v>
      </c>
      <c r="D208" s="1" t="s">
        <v>261</v>
      </c>
      <c r="G208" s="1" t="s">
        <v>267</v>
      </c>
      <c r="K208" s="1" t="s">
        <v>24</v>
      </c>
      <c r="N208" s="1">
        <v>2.0</v>
      </c>
      <c r="O208" s="1">
        <v>2.0</v>
      </c>
      <c r="P208" s="1">
        <v>2.0</v>
      </c>
      <c r="Q208" s="1">
        <v>136.0</v>
      </c>
      <c r="R208" s="1">
        <v>0.02</v>
      </c>
    </row>
    <row r="209" ht="15.75" customHeight="1">
      <c r="A209" s="1" t="s">
        <v>25</v>
      </c>
      <c r="B209" s="1">
        <v>208.0</v>
      </c>
      <c r="C209" s="1" t="s">
        <v>253</v>
      </c>
      <c r="D209" s="1" t="s">
        <v>254</v>
      </c>
      <c r="G209" s="1" t="s">
        <v>256</v>
      </c>
      <c r="K209" s="1" t="s">
        <v>24</v>
      </c>
      <c r="N209" s="1">
        <v>4.0</v>
      </c>
      <c r="O209" s="1">
        <v>4.0</v>
      </c>
      <c r="P209" s="1">
        <v>4.0</v>
      </c>
      <c r="Q209" s="1">
        <v>134.44</v>
      </c>
      <c r="R209" s="1">
        <v>0.02</v>
      </c>
    </row>
    <row r="210" ht="15.75" customHeight="1">
      <c r="A210" s="1" t="s">
        <v>277</v>
      </c>
      <c r="B210" s="1">
        <v>209.0</v>
      </c>
      <c r="C210" s="1" t="s">
        <v>325</v>
      </c>
      <c r="D210" s="1" t="s">
        <v>199</v>
      </c>
      <c r="F210" s="1" t="s">
        <v>326</v>
      </c>
      <c r="G210" s="1" t="s">
        <v>353</v>
      </c>
      <c r="J210" s="1">
        <v>4.15</v>
      </c>
      <c r="K210" s="1" t="s">
        <v>280</v>
      </c>
      <c r="N210" s="1">
        <v>4.0</v>
      </c>
      <c r="O210" s="1">
        <v>4.0</v>
      </c>
      <c r="P210" s="1">
        <v>4.0</v>
      </c>
      <c r="Q210" s="1">
        <v>133.87</v>
      </c>
      <c r="R210" s="1">
        <v>0.02</v>
      </c>
    </row>
    <row r="211" ht="15.75" customHeight="1">
      <c r="A211" s="1" t="s">
        <v>25</v>
      </c>
      <c r="B211" s="1">
        <v>210.0</v>
      </c>
      <c r="C211" s="1" t="s">
        <v>253</v>
      </c>
      <c r="D211" s="1" t="s">
        <v>254</v>
      </c>
      <c r="G211" s="1" t="s">
        <v>259</v>
      </c>
      <c r="K211" s="1" t="s">
        <v>24</v>
      </c>
      <c r="N211" s="1">
        <v>3.0</v>
      </c>
      <c r="O211" s="1">
        <v>3.0</v>
      </c>
      <c r="P211" s="1">
        <v>3.0</v>
      </c>
      <c r="Q211" s="1">
        <v>128.7</v>
      </c>
      <c r="R211" s="1">
        <v>0.02</v>
      </c>
    </row>
    <row r="212" ht="15.75" customHeight="1">
      <c r="A212" s="1" t="s">
        <v>25</v>
      </c>
      <c r="B212" s="1">
        <v>211.0</v>
      </c>
      <c r="C212" s="1" t="s">
        <v>99</v>
      </c>
      <c r="D212" s="1" t="s">
        <v>115</v>
      </c>
      <c r="G212" s="1" t="s">
        <v>121</v>
      </c>
      <c r="K212" s="1" t="s">
        <v>24</v>
      </c>
      <c r="N212" s="1">
        <v>22.0</v>
      </c>
      <c r="O212" s="1">
        <v>27.0</v>
      </c>
      <c r="P212" s="1">
        <v>20.0</v>
      </c>
      <c r="Q212" s="1">
        <v>128.49</v>
      </c>
      <c r="R212" s="1">
        <v>0.02</v>
      </c>
    </row>
    <row r="213" ht="15.75" customHeight="1">
      <c r="A213" s="1" t="s">
        <v>25</v>
      </c>
      <c r="B213" s="1">
        <v>212.0</v>
      </c>
      <c r="C213" s="1" t="s">
        <v>162</v>
      </c>
      <c r="D213" s="1" t="s">
        <v>160</v>
      </c>
      <c r="G213" s="1" t="s">
        <v>163</v>
      </c>
      <c r="K213" s="1" t="s">
        <v>24</v>
      </c>
      <c r="N213" s="1">
        <v>6.0</v>
      </c>
      <c r="O213" s="1">
        <v>6.0</v>
      </c>
      <c r="P213" s="1">
        <v>5.0</v>
      </c>
      <c r="Q213" s="1">
        <v>128.16</v>
      </c>
      <c r="R213" s="1">
        <v>0.02</v>
      </c>
    </row>
    <row r="214" ht="15.75" customHeight="1">
      <c r="A214" s="1" t="s">
        <v>277</v>
      </c>
      <c r="B214" s="1">
        <v>213.0</v>
      </c>
      <c r="C214" s="1" t="s">
        <v>342</v>
      </c>
      <c r="D214" s="1" t="s">
        <v>199</v>
      </c>
      <c r="E214" s="1" t="s">
        <v>343</v>
      </c>
      <c r="F214" s="1" t="s">
        <v>344</v>
      </c>
      <c r="G214" s="1" t="s">
        <v>354</v>
      </c>
      <c r="H214" s="1" t="s">
        <v>284</v>
      </c>
      <c r="J214" s="1">
        <v>0.83</v>
      </c>
      <c r="K214" s="1" t="s">
        <v>280</v>
      </c>
      <c r="N214" s="1">
        <v>9.0</v>
      </c>
      <c r="O214" s="1">
        <v>10.0</v>
      </c>
      <c r="P214" s="1">
        <v>9.0</v>
      </c>
      <c r="Q214" s="1">
        <v>127.92</v>
      </c>
      <c r="R214" s="1">
        <v>0.02</v>
      </c>
    </row>
    <row r="215" ht="15.75" customHeight="1">
      <c r="A215" s="1" t="s">
        <v>25</v>
      </c>
      <c r="B215" s="1">
        <v>214.0</v>
      </c>
      <c r="C215" s="1" t="s">
        <v>113</v>
      </c>
      <c r="D215" s="1" t="s">
        <v>87</v>
      </c>
      <c r="G215" s="1" t="s">
        <v>114</v>
      </c>
      <c r="K215" s="1" t="s">
        <v>24</v>
      </c>
      <c r="N215" s="1">
        <v>2.0</v>
      </c>
      <c r="O215" s="1">
        <v>3.0</v>
      </c>
      <c r="P215" s="1">
        <v>2.0</v>
      </c>
      <c r="Q215" s="1">
        <v>124.07</v>
      </c>
      <c r="R215" s="1">
        <v>0.02</v>
      </c>
    </row>
    <row r="216" ht="15.75" customHeight="1">
      <c r="A216" s="1" t="s">
        <v>25</v>
      </c>
      <c r="B216" s="1">
        <v>215.0</v>
      </c>
      <c r="C216" s="1" t="s">
        <v>89</v>
      </c>
      <c r="D216" s="1" t="s">
        <v>87</v>
      </c>
      <c r="G216" s="1" t="s">
        <v>114</v>
      </c>
      <c r="K216" s="1" t="s">
        <v>24</v>
      </c>
      <c r="N216" s="1">
        <v>3.0</v>
      </c>
      <c r="O216" s="1">
        <v>3.0</v>
      </c>
      <c r="P216" s="1">
        <v>3.0</v>
      </c>
      <c r="Q216" s="1">
        <v>122.45</v>
      </c>
      <c r="R216" s="1">
        <v>0.02</v>
      </c>
    </row>
    <row r="217" ht="15.75" customHeight="1">
      <c r="A217" s="1" t="s">
        <v>25</v>
      </c>
      <c r="B217" s="1">
        <v>216.0</v>
      </c>
      <c r="C217" s="1" t="s">
        <v>83</v>
      </c>
      <c r="D217" s="1" t="s">
        <v>22</v>
      </c>
      <c r="G217" s="1" t="s">
        <v>82</v>
      </c>
      <c r="K217" s="1" t="s">
        <v>24</v>
      </c>
      <c r="N217" s="1">
        <v>3.0</v>
      </c>
      <c r="O217" s="1">
        <v>3.0</v>
      </c>
      <c r="P217" s="1">
        <v>3.0</v>
      </c>
      <c r="Q217" s="1">
        <v>119.7</v>
      </c>
      <c r="R217" s="1">
        <v>0.02</v>
      </c>
    </row>
    <row r="218" ht="15.75" customHeight="1">
      <c r="A218" s="1" t="s">
        <v>25</v>
      </c>
      <c r="B218" s="1">
        <v>217.0</v>
      </c>
      <c r="C218" s="1" t="s">
        <v>74</v>
      </c>
      <c r="D218" s="1" t="s">
        <v>22</v>
      </c>
      <c r="G218" s="1" t="s">
        <v>73</v>
      </c>
      <c r="K218" s="1" t="s">
        <v>24</v>
      </c>
      <c r="N218" s="1">
        <v>3.0</v>
      </c>
      <c r="O218" s="1">
        <v>3.0</v>
      </c>
      <c r="P218" s="1">
        <v>3.0</v>
      </c>
      <c r="Q218" s="1">
        <v>119.7</v>
      </c>
      <c r="R218" s="1">
        <v>0.02</v>
      </c>
    </row>
    <row r="219" ht="15.75" customHeight="1">
      <c r="A219" s="1" t="s">
        <v>25</v>
      </c>
      <c r="B219" s="1">
        <v>218.0</v>
      </c>
      <c r="C219" s="1" t="s">
        <v>164</v>
      </c>
      <c r="D219" s="1" t="s">
        <v>165</v>
      </c>
      <c r="G219" s="1" t="s">
        <v>174</v>
      </c>
      <c r="K219" s="1" t="s">
        <v>24</v>
      </c>
      <c r="N219" s="1">
        <v>2.0</v>
      </c>
      <c r="O219" s="1">
        <v>2.0</v>
      </c>
      <c r="P219" s="1">
        <v>2.0</v>
      </c>
      <c r="Q219" s="1">
        <v>113.81</v>
      </c>
      <c r="R219" s="1">
        <v>0.02</v>
      </c>
    </row>
    <row r="220" ht="15.75" customHeight="1">
      <c r="A220" s="1" t="s">
        <v>277</v>
      </c>
      <c r="B220" s="1">
        <v>219.0</v>
      </c>
      <c r="C220" s="1" t="s">
        <v>355</v>
      </c>
      <c r="D220" s="1" t="s">
        <v>160</v>
      </c>
      <c r="E220" s="1" t="s">
        <v>356</v>
      </c>
      <c r="F220" s="1" t="s">
        <v>357</v>
      </c>
      <c r="G220" s="1" t="s">
        <v>161</v>
      </c>
      <c r="H220" s="1" t="s">
        <v>336</v>
      </c>
      <c r="J220" s="1">
        <v>6.19</v>
      </c>
      <c r="K220" s="1" t="s">
        <v>280</v>
      </c>
      <c r="N220" s="1">
        <v>5.0</v>
      </c>
      <c r="O220" s="1">
        <v>5.0</v>
      </c>
      <c r="P220" s="1">
        <v>5.0</v>
      </c>
      <c r="Q220" s="1">
        <v>111.25</v>
      </c>
      <c r="R220" s="1">
        <v>0.02</v>
      </c>
    </row>
    <row r="221" ht="15.75" customHeight="1">
      <c r="A221" s="1" t="s">
        <v>25</v>
      </c>
      <c r="B221" s="1">
        <v>220.0</v>
      </c>
      <c r="C221" s="1" t="s">
        <v>62</v>
      </c>
      <c r="D221" s="1" t="s">
        <v>22</v>
      </c>
      <c r="G221" s="1" t="s">
        <v>80</v>
      </c>
      <c r="K221" s="1" t="s">
        <v>24</v>
      </c>
      <c r="N221" s="1">
        <v>2.0</v>
      </c>
      <c r="O221" s="1">
        <v>2.0</v>
      </c>
      <c r="P221" s="1">
        <v>2.0</v>
      </c>
      <c r="Q221" s="1">
        <v>109.05</v>
      </c>
      <c r="R221" s="1">
        <v>0.02</v>
      </c>
    </row>
    <row r="222" ht="15.75" customHeight="1">
      <c r="A222" s="1" t="s">
        <v>25</v>
      </c>
      <c r="B222" s="1">
        <v>221.0</v>
      </c>
      <c r="C222" s="1" t="s">
        <v>229</v>
      </c>
      <c r="D222" s="1" t="s">
        <v>226</v>
      </c>
      <c r="G222" s="1" t="s">
        <v>239</v>
      </c>
      <c r="K222" s="1" t="s">
        <v>24</v>
      </c>
      <c r="N222" s="1">
        <v>3.0</v>
      </c>
      <c r="O222" s="1">
        <v>4.0</v>
      </c>
      <c r="P222" s="1">
        <v>3.0</v>
      </c>
      <c r="Q222" s="1">
        <v>108.97</v>
      </c>
      <c r="R222" s="1">
        <v>0.02</v>
      </c>
    </row>
    <row r="223" ht="15.75" customHeight="1">
      <c r="A223" s="1" t="s">
        <v>25</v>
      </c>
      <c r="B223" s="1">
        <v>222.0</v>
      </c>
      <c r="C223" s="1" t="s">
        <v>71</v>
      </c>
      <c r="D223" s="1" t="s">
        <v>22</v>
      </c>
      <c r="G223" s="1" t="s">
        <v>70</v>
      </c>
      <c r="K223" s="1" t="s">
        <v>24</v>
      </c>
      <c r="N223" s="1">
        <v>3.0</v>
      </c>
      <c r="O223" s="1">
        <v>3.0</v>
      </c>
      <c r="P223" s="1">
        <v>3.0</v>
      </c>
      <c r="Q223" s="1">
        <v>107.04</v>
      </c>
      <c r="R223" s="1">
        <v>0.02</v>
      </c>
    </row>
    <row r="224" ht="15.75" customHeight="1">
      <c r="A224" s="1" t="s">
        <v>277</v>
      </c>
      <c r="B224" s="1">
        <v>223.0</v>
      </c>
      <c r="C224" s="1" t="s">
        <v>358</v>
      </c>
      <c r="D224" s="1" t="s">
        <v>146</v>
      </c>
      <c r="F224" s="1" t="s">
        <v>359</v>
      </c>
      <c r="G224" s="1" t="s">
        <v>360</v>
      </c>
      <c r="J224" s="1">
        <v>2.75</v>
      </c>
      <c r="K224" s="1" t="s">
        <v>280</v>
      </c>
      <c r="N224" s="1">
        <v>5.0</v>
      </c>
      <c r="O224" s="1">
        <v>5.0</v>
      </c>
      <c r="P224" s="1">
        <v>4.0</v>
      </c>
      <c r="Q224" s="1">
        <v>106.89</v>
      </c>
      <c r="R224" s="1">
        <v>0.02</v>
      </c>
    </row>
    <row r="225" ht="15.75" customHeight="1">
      <c r="A225" s="1" t="s">
        <v>25</v>
      </c>
      <c r="B225" s="1">
        <v>224.0</v>
      </c>
      <c r="C225" s="1" t="s">
        <v>97</v>
      </c>
      <c r="D225" s="1" t="s">
        <v>115</v>
      </c>
      <c r="G225" s="1" t="s">
        <v>120</v>
      </c>
      <c r="K225" s="1" t="s">
        <v>24</v>
      </c>
      <c r="N225" s="1">
        <v>22.0</v>
      </c>
      <c r="O225" s="1">
        <v>24.0</v>
      </c>
      <c r="P225" s="1">
        <v>19.0</v>
      </c>
      <c r="Q225" s="1">
        <v>106.61</v>
      </c>
      <c r="R225" s="1">
        <v>0.02</v>
      </c>
    </row>
    <row r="226" ht="15.75" customHeight="1">
      <c r="A226" s="1" t="s">
        <v>25</v>
      </c>
      <c r="B226" s="1">
        <v>225.0</v>
      </c>
      <c r="C226" s="1" t="s">
        <v>69</v>
      </c>
      <c r="D226" s="1" t="s">
        <v>22</v>
      </c>
      <c r="G226" s="1" t="s">
        <v>68</v>
      </c>
      <c r="K226" s="1" t="s">
        <v>24</v>
      </c>
      <c r="N226" s="1">
        <v>3.0</v>
      </c>
      <c r="O226" s="1">
        <v>3.0</v>
      </c>
      <c r="P226" s="1">
        <v>1.0</v>
      </c>
      <c r="Q226" s="1">
        <v>101.76</v>
      </c>
      <c r="R226" s="1">
        <v>0.02</v>
      </c>
    </row>
    <row r="227" ht="15.75" customHeight="1">
      <c r="A227" s="1" t="s">
        <v>25</v>
      </c>
      <c r="B227" s="1">
        <v>226.0</v>
      </c>
      <c r="C227" s="1" t="s">
        <v>274</v>
      </c>
      <c r="D227" s="1" t="s">
        <v>273</v>
      </c>
      <c r="G227" s="1" t="s">
        <v>161</v>
      </c>
      <c r="K227" s="1" t="s">
        <v>24</v>
      </c>
      <c r="N227" s="1">
        <v>3.0</v>
      </c>
      <c r="O227" s="1">
        <v>3.0</v>
      </c>
      <c r="P227" s="1">
        <v>3.0</v>
      </c>
      <c r="Q227" s="1">
        <v>100.08</v>
      </c>
      <c r="R227" s="1">
        <v>0.02</v>
      </c>
    </row>
    <row r="228" ht="15.75" customHeight="1">
      <c r="A228" s="1" t="s">
        <v>25</v>
      </c>
      <c r="B228" s="1">
        <v>227.0</v>
      </c>
      <c r="C228" s="1" t="s">
        <v>37</v>
      </c>
      <c r="D228" s="1" t="s">
        <v>22</v>
      </c>
      <c r="G228" s="1" t="s">
        <v>36</v>
      </c>
      <c r="K228" s="1" t="s">
        <v>24</v>
      </c>
      <c r="N228" s="1">
        <v>2.0</v>
      </c>
      <c r="O228" s="1">
        <v>2.0</v>
      </c>
      <c r="P228" s="1">
        <v>2.0</v>
      </c>
      <c r="Q228" s="1">
        <v>99.8</v>
      </c>
      <c r="R228" s="1">
        <v>0.02</v>
      </c>
    </row>
    <row r="229" ht="15.75" customHeight="1">
      <c r="A229" s="1" t="s">
        <v>277</v>
      </c>
      <c r="B229" s="1">
        <v>228.0</v>
      </c>
      <c r="C229" s="1" t="s">
        <v>287</v>
      </c>
      <c r="D229" s="1" t="s">
        <v>165</v>
      </c>
      <c r="E229" s="1" t="s">
        <v>288</v>
      </c>
      <c r="F229" s="1" t="s">
        <v>289</v>
      </c>
      <c r="G229" s="1" t="s">
        <v>361</v>
      </c>
      <c r="H229" s="1" t="s">
        <v>284</v>
      </c>
      <c r="J229" s="1">
        <v>17.65</v>
      </c>
      <c r="K229" s="1" t="s">
        <v>280</v>
      </c>
      <c r="N229" s="1">
        <v>1.0</v>
      </c>
      <c r="O229" s="1">
        <v>2.0</v>
      </c>
      <c r="P229" s="1">
        <v>1.0</v>
      </c>
      <c r="Q229" s="1">
        <v>88.76</v>
      </c>
      <c r="R229" s="1">
        <v>0.02</v>
      </c>
    </row>
    <row r="230" ht="15.75" customHeight="1">
      <c r="A230" s="1" t="s">
        <v>25</v>
      </c>
      <c r="B230" s="1">
        <v>229.0</v>
      </c>
      <c r="C230" s="1" t="s">
        <v>127</v>
      </c>
      <c r="D230" s="1" t="s">
        <v>115</v>
      </c>
      <c r="G230" s="1" t="s">
        <v>126</v>
      </c>
      <c r="K230" s="1" t="s">
        <v>24</v>
      </c>
      <c r="N230" s="1">
        <v>3.0</v>
      </c>
      <c r="O230" s="1">
        <v>4.0</v>
      </c>
      <c r="P230" s="1">
        <v>3.0</v>
      </c>
      <c r="Q230" s="1">
        <v>86.62</v>
      </c>
      <c r="R230" s="1">
        <v>0.02</v>
      </c>
    </row>
    <row r="231" ht="15.75" customHeight="1">
      <c r="A231" s="1" t="s">
        <v>25</v>
      </c>
      <c r="B231" s="1">
        <v>230.0</v>
      </c>
      <c r="C231" s="1" t="s">
        <v>218</v>
      </c>
      <c r="D231" s="1" t="s">
        <v>219</v>
      </c>
      <c r="G231" s="1" t="s">
        <v>223</v>
      </c>
      <c r="K231" s="1" t="s">
        <v>24</v>
      </c>
      <c r="N231" s="1">
        <v>2.0</v>
      </c>
      <c r="O231" s="1">
        <v>2.0</v>
      </c>
      <c r="P231" s="1">
        <v>2.0</v>
      </c>
      <c r="Q231" s="1">
        <v>77.8</v>
      </c>
      <c r="R231" s="1">
        <v>0.01</v>
      </c>
    </row>
    <row r="232" ht="15.75" customHeight="1">
      <c r="A232" s="1" t="s">
        <v>25</v>
      </c>
      <c r="B232" s="1">
        <v>231.0</v>
      </c>
      <c r="C232" s="1" t="s">
        <v>62</v>
      </c>
      <c r="D232" s="1" t="s">
        <v>22</v>
      </c>
      <c r="G232" s="1" t="s">
        <v>79</v>
      </c>
      <c r="K232" s="1" t="s">
        <v>24</v>
      </c>
      <c r="N232" s="1">
        <v>2.0</v>
      </c>
      <c r="O232" s="1">
        <v>2.0</v>
      </c>
      <c r="P232" s="1">
        <v>2.0</v>
      </c>
      <c r="Q232" s="1">
        <v>75.81</v>
      </c>
      <c r="R232" s="1">
        <v>0.01</v>
      </c>
    </row>
    <row r="233" ht="15.75" customHeight="1">
      <c r="A233" s="1" t="s">
        <v>277</v>
      </c>
      <c r="B233" s="1">
        <v>232.0</v>
      </c>
      <c r="C233" s="1" t="s">
        <v>323</v>
      </c>
      <c r="D233" s="1" t="s">
        <v>115</v>
      </c>
      <c r="F233" s="1" t="s">
        <v>324</v>
      </c>
      <c r="G233" s="1" t="s">
        <v>362</v>
      </c>
      <c r="J233" s="1">
        <v>5.25</v>
      </c>
      <c r="K233" s="1" t="s">
        <v>280</v>
      </c>
      <c r="N233" s="1">
        <v>1.0</v>
      </c>
      <c r="O233" s="1">
        <v>1.0</v>
      </c>
      <c r="P233" s="1">
        <v>1.0</v>
      </c>
      <c r="Q233" s="1">
        <v>69.0</v>
      </c>
      <c r="R233" s="1">
        <v>0.01</v>
      </c>
    </row>
    <row r="234" ht="15.75" customHeight="1">
      <c r="A234" s="1" t="s">
        <v>25</v>
      </c>
      <c r="B234" s="1">
        <v>233.0</v>
      </c>
      <c r="C234" s="1" t="s">
        <v>217</v>
      </c>
      <c r="D234" s="1" t="s">
        <v>209</v>
      </c>
      <c r="G234" s="1" t="s">
        <v>216</v>
      </c>
      <c r="K234" s="1" t="s">
        <v>24</v>
      </c>
      <c r="N234" s="1">
        <v>1.0</v>
      </c>
      <c r="O234" s="1">
        <v>1.0</v>
      </c>
      <c r="P234" s="1">
        <v>1.0</v>
      </c>
      <c r="Q234" s="1">
        <v>68.32</v>
      </c>
      <c r="R234" s="1">
        <v>0.01</v>
      </c>
    </row>
    <row r="235" ht="15.75" customHeight="1">
      <c r="A235" s="1" t="s">
        <v>25</v>
      </c>
      <c r="B235" s="1">
        <v>234.0</v>
      </c>
      <c r="C235" s="1" t="s">
        <v>246</v>
      </c>
      <c r="D235" s="1" t="s">
        <v>243</v>
      </c>
      <c r="G235" s="1" t="s">
        <v>41</v>
      </c>
      <c r="K235" s="1" t="s">
        <v>24</v>
      </c>
      <c r="N235" s="1">
        <v>1.0</v>
      </c>
      <c r="O235" s="1">
        <v>1.0</v>
      </c>
      <c r="P235" s="1">
        <v>1.0</v>
      </c>
      <c r="Q235" s="1">
        <v>67.92</v>
      </c>
      <c r="R235" s="1">
        <v>0.01</v>
      </c>
    </row>
    <row r="236" ht="15.75" customHeight="1">
      <c r="A236" s="1" t="s">
        <v>277</v>
      </c>
      <c r="B236" s="1">
        <v>235.0</v>
      </c>
      <c r="C236" s="1" t="s">
        <v>281</v>
      </c>
      <c r="D236" s="1" t="s">
        <v>87</v>
      </c>
      <c r="E236" s="1" t="s">
        <v>282</v>
      </c>
      <c r="F236" s="1" t="s">
        <v>283</v>
      </c>
      <c r="G236" s="1" t="s">
        <v>363</v>
      </c>
      <c r="H236" s="1" t="s">
        <v>284</v>
      </c>
      <c r="J236" s="1">
        <v>18.39</v>
      </c>
      <c r="K236" s="1" t="s">
        <v>280</v>
      </c>
      <c r="N236" s="1">
        <v>1.0</v>
      </c>
      <c r="O236" s="1">
        <v>1.0</v>
      </c>
      <c r="P236" s="1">
        <v>1.0</v>
      </c>
      <c r="Q236" s="1">
        <v>67.31</v>
      </c>
      <c r="R236" s="1">
        <v>0.01</v>
      </c>
    </row>
    <row r="237" ht="15.75" customHeight="1">
      <c r="A237" s="1" t="s">
        <v>25</v>
      </c>
      <c r="B237" s="1">
        <v>236.0</v>
      </c>
      <c r="C237" s="1" t="s">
        <v>218</v>
      </c>
      <c r="D237" s="1" t="s">
        <v>219</v>
      </c>
      <c r="G237" s="1" t="s">
        <v>220</v>
      </c>
      <c r="K237" s="1" t="s">
        <v>24</v>
      </c>
      <c r="N237" s="1">
        <v>2.0</v>
      </c>
      <c r="O237" s="1">
        <v>2.0</v>
      </c>
      <c r="P237" s="1">
        <v>2.0</v>
      </c>
      <c r="Q237" s="1">
        <v>56.14</v>
      </c>
      <c r="R237" s="1">
        <v>0.01</v>
      </c>
    </row>
    <row r="238" ht="15.75" customHeight="1">
      <c r="A238" s="1" t="s">
        <v>277</v>
      </c>
      <c r="B238" s="1">
        <v>237.0</v>
      </c>
      <c r="C238" s="1" t="s">
        <v>364</v>
      </c>
      <c r="D238" s="1" t="s">
        <v>146</v>
      </c>
      <c r="E238" s="1" t="s">
        <v>365</v>
      </c>
      <c r="F238" s="1" t="s">
        <v>366</v>
      </c>
      <c r="G238" s="1" t="s">
        <v>147</v>
      </c>
      <c r="H238" s="1" t="s">
        <v>284</v>
      </c>
      <c r="J238" s="1">
        <v>0.55</v>
      </c>
      <c r="K238" s="1" t="s">
        <v>280</v>
      </c>
      <c r="N238" s="1">
        <v>7.0</v>
      </c>
      <c r="O238" s="1">
        <v>13.0</v>
      </c>
      <c r="P238" s="1">
        <v>5.0</v>
      </c>
      <c r="Q238" s="1">
        <v>50.11</v>
      </c>
      <c r="R238" s="1">
        <v>0.01</v>
      </c>
    </row>
    <row r="239" ht="15.75" customHeight="1">
      <c r="A239" s="1" t="s">
        <v>277</v>
      </c>
      <c r="B239" s="1">
        <v>238.0</v>
      </c>
      <c r="C239" s="1" t="s">
        <v>364</v>
      </c>
      <c r="D239" s="1" t="s">
        <v>146</v>
      </c>
      <c r="E239" s="1" t="s">
        <v>365</v>
      </c>
      <c r="F239" s="1" t="s">
        <v>366</v>
      </c>
      <c r="G239" s="1" t="s">
        <v>367</v>
      </c>
      <c r="H239" s="1" t="s">
        <v>284</v>
      </c>
      <c r="J239" s="1">
        <v>0.55</v>
      </c>
      <c r="K239" s="1" t="s">
        <v>280</v>
      </c>
      <c r="N239" s="1">
        <v>3.0</v>
      </c>
      <c r="O239" s="1">
        <v>5.0</v>
      </c>
      <c r="P239" s="1">
        <v>3.0</v>
      </c>
      <c r="Q239" s="1">
        <v>48.12</v>
      </c>
      <c r="R239" s="1">
        <v>0.01</v>
      </c>
    </row>
    <row r="240" ht="15.75" customHeight="1">
      <c r="A240" s="1" t="s">
        <v>25</v>
      </c>
      <c r="B240" s="1">
        <v>239.0</v>
      </c>
      <c r="C240" s="1" t="s">
        <v>97</v>
      </c>
      <c r="D240" s="1" t="s">
        <v>115</v>
      </c>
      <c r="G240" s="1" t="s">
        <v>116</v>
      </c>
      <c r="K240" s="1" t="s">
        <v>24</v>
      </c>
      <c r="N240" s="1">
        <v>4.0</v>
      </c>
      <c r="O240" s="1">
        <v>4.0</v>
      </c>
      <c r="P240" s="1">
        <v>4.0</v>
      </c>
      <c r="Q240" s="1">
        <v>47.47</v>
      </c>
      <c r="R240" s="1">
        <v>0.01</v>
      </c>
    </row>
    <row r="241" ht="15.75" customHeight="1">
      <c r="A241" s="1" t="s">
        <v>25</v>
      </c>
      <c r="B241" s="1">
        <v>240.0</v>
      </c>
      <c r="C241" s="1" t="s">
        <v>99</v>
      </c>
      <c r="D241" s="1" t="s">
        <v>115</v>
      </c>
      <c r="G241" s="1" t="s">
        <v>117</v>
      </c>
      <c r="K241" s="1" t="s">
        <v>24</v>
      </c>
      <c r="N241" s="1">
        <v>4.0</v>
      </c>
      <c r="O241" s="1">
        <v>4.0</v>
      </c>
      <c r="P241" s="1">
        <v>4.0</v>
      </c>
      <c r="Q241" s="1">
        <v>47.47</v>
      </c>
      <c r="R241" s="1">
        <v>0.01</v>
      </c>
    </row>
    <row r="242" ht="15.75" customHeight="1">
      <c r="A242" s="1" t="s">
        <v>25</v>
      </c>
      <c r="B242" s="1">
        <v>241.0</v>
      </c>
      <c r="C242" s="1" t="s">
        <v>44</v>
      </c>
      <c r="D242" s="1" t="s">
        <v>22</v>
      </c>
      <c r="G242" s="1" t="s">
        <v>56</v>
      </c>
      <c r="K242" s="1" t="s">
        <v>24</v>
      </c>
      <c r="N242" s="1">
        <v>1.0</v>
      </c>
      <c r="O242" s="1">
        <v>1.0</v>
      </c>
      <c r="P242" s="1">
        <v>1.0</v>
      </c>
      <c r="Q242" s="1">
        <v>45.42</v>
      </c>
      <c r="R242" s="1">
        <v>0.01</v>
      </c>
    </row>
    <row r="243" ht="15.75" customHeight="1">
      <c r="A243" s="1" t="s">
        <v>25</v>
      </c>
      <c r="B243" s="1">
        <v>242.0</v>
      </c>
      <c r="C243" s="1" t="s">
        <v>122</v>
      </c>
      <c r="D243" s="1" t="s">
        <v>115</v>
      </c>
      <c r="G243" s="1" t="s">
        <v>123</v>
      </c>
      <c r="K243" s="1" t="s">
        <v>24</v>
      </c>
      <c r="N243" s="1">
        <v>2.0</v>
      </c>
      <c r="O243" s="1">
        <v>2.0</v>
      </c>
      <c r="P243" s="1">
        <v>2.0</v>
      </c>
      <c r="Q243" s="1">
        <v>41.34</v>
      </c>
      <c r="R243" s="1">
        <v>0.01</v>
      </c>
    </row>
    <row r="244" ht="15.75" customHeight="1">
      <c r="A244" s="1" t="s">
        <v>25</v>
      </c>
      <c r="B244" s="1">
        <v>243.0</v>
      </c>
      <c r="C244" s="1" t="s">
        <v>129</v>
      </c>
      <c r="D244" s="1" t="s">
        <v>115</v>
      </c>
      <c r="G244" s="1" t="s">
        <v>128</v>
      </c>
      <c r="K244" s="1" t="s">
        <v>24</v>
      </c>
      <c r="N244" s="1">
        <v>2.0</v>
      </c>
      <c r="O244" s="1">
        <v>2.0</v>
      </c>
      <c r="P244" s="1">
        <v>2.0</v>
      </c>
      <c r="Q244" s="1">
        <v>40.82</v>
      </c>
      <c r="R244" s="1">
        <v>0.01</v>
      </c>
    </row>
    <row r="245" ht="15.75" customHeight="1">
      <c r="A245" s="1" t="s">
        <v>25</v>
      </c>
      <c r="B245" s="1">
        <v>244.0</v>
      </c>
      <c r="C245" s="1" t="s">
        <v>204</v>
      </c>
      <c r="D245" s="1" t="s">
        <v>199</v>
      </c>
      <c r="G245" s="1" t="s">
        <v>203</v>
      </c>
      <c r="K245" s="1" t="s">
        <v>24</v>
      </c>
      <c r="N245" s="1">
        <v>2.0</v>
      </c>
      <c r="O245" s="1">
        <v>2.0</v>
      </c>
      <c r="P245" s="1">
        <v>2.0</v>
      </c>
      <c r="Q245" s="1">
        <v>39.91</v>
      </c>
      <c r="R245" s="1">
        <v>0.01</v>
      </c>
    </row>
    <row r="246" ht="15.75" customHeight="1">
      <c r="A246" s="1" t="s">
        <v>25</v>
      </c>
      <c r="B246" s="1">
        <v>245.0</v>
      </c>
      <c r="C246" s="1" t="s">
        <v>74</v>
      </c>
      <c r="D246" s="1" t="s">
        <v>22</v>
      </c>
      <c r="G246" s="1" t="s">
        <v>85</v>
      </c>
      <c r="K246" s="1" t="s">
        <v>24</v>
      </c>
      <c r="N246" s="1">
        <v>1.0</v>
      </c>
      <c r="O246" s="1">
        <v>1.0</v>
      </c>
      <c r="P246" s="1">
        <v>1.0</v>
      </c>
      <c r="Q246" s="1">
        <v>39.9</v>
      </c>
      <c r="R246" s="1">
        <v>0.01</v>
      </c>
    </row>
    <row r="247" ht="15.75" customHeight="1">
      <c r="A247" s="1" t="s">
        <v>25</v>
      </c>
      <c r="B247" s="1">
        <v>246.0</v>
      </c>
      <c r="C247" s="1" t="s">
        <v>154</v>
      </c>
      <c r="D247" s="1" t="s">
        <v>151</v>
      </c>
      <c r="G247" s="1" t="s">
        <v>155</v>
      </c>
      <c r="K247" s="1" t="s">
        <v>24</v>
      </c>
      <c r="N247" s="1">
        <v>1.0</v>
      </c>
      <c r="O247" s="1">
        <v>1.0</v>
      </c>
      <c r="P247" s="1">
        <v>1.0</v>
      </c>
      <c r="Q247" s="1">
        <v>39.9</v>
      </c>
      <c r="R247" s="1">
        <v>0.01</v>
      </c>
    </row>
    <row r="248" ht="15.75" customHeight="1">
      <c r="A248" s="1" t="s">
        <v>25</v>
      </c>
      <c r="B248" s="1">
        <v>247.0</v>
      </c>
      <c r="C248" s="1" t="s">
        <v>218</v>
      </c>
      <c r="D248" s="1" t="s">
        <v>219</v>
      </c>
      <c r="G248" s="1" t="s">
        <v>222</v>
      </c>
      <c r="K248" s="1" t="s">
        <v>24</v>
      </c>
      <c r="N248" s="1">
        <v>1.0</v>
      </c>
      <c r="O248" s="1">
        <v>1.0</v>
      </c>
      <c r="P248" s="1">
        <v>1.0</v>
      </c>
      <c r="Q248" s="1">
        <v>38.9</v>
      </c>
      <c r="R248" s="1">
        <v>0.01</v>
      </c>
    </row>
    <row r="249" ht="15.75" customHeight="1">
      <c r="A249" s="1" t="s">
        <v>25</v>
      </c>
      <c r="B249" s="1">
        <v>248.0</v>
      </c>
      <c r="C249" s="1" t="s">
        <v>148</v>
      </c>
      <c r="D249" s="1" t="s">
        <v>146</v>
      </c>
      <c r="G249" s="1" t="s">
        <v>149</v>
      </c>
      <c r="K249" s="1" t="s">
        <v>24</v>
      </c>
      <c r="N249" s="1">
        <v>2.0</v>
      </c>
      <c r="O249" s="1">
        <v>2.0</v>
      </c>
      <c r="P249" s="1">
        <v>2.0</v>
      </c>
      <c r="Q249" s="1">
        <v>30.01</v>
      </c>
      <c r="R249" s="1">
        <v>0.01</v>
      </c>
    </row>
    <row r="250" ht="15.75" customHeight="1">
      <c r="A250" s="1" t="s">
        <v>25</v>
      </c>
      <c r="B250" s="1">
        <v>249.0</v>
      </c>
      <c r="C250" s="1" t="s">
        <v>62</v>
      </c>
      <c r="D250" s="1" t="s">
        <v>22</v>
      </c>
      <c r="G250" s="1" t="s">
        <v>63</v>
      </c>
      <c r="K250" s="1" t="s">
        <v>24</v>
      </c>
      <c r="N250" s="1">
        <v>1.0</v>
      </c>
      <c r="O250" s="1">
        <v>1.0</v>
      </c>
      <c r="P250" s="1">
        <v>1.0</v>
      </c>
      <c r="Q250" s="1">
        <v>24.52</v>
      </c>
      <c r="R250" s="1">
        <v>0.0</v>
      </c>
    </row>
    <row r="251" ht="15.75" customHeight="1">
      <c r="A251" s="1" t="s">
        <v>277</v>
      </c>
      <c r="B251" s="1">
        <v>250.0</v>
      </c>
      <c r="C251" s="1" t="s">
        <v>358</v>
      </c>
      <c r="D251" s="1" t="s">
        <v>146</v>
      </c>
      <c r="F251" s="1" t="s">
        <v>359</v>
      </c>
      <c r="G251" s="1" t="s">
        <v>368</v>
      </c>
      <c r="J251" s="1">
        <v>2.75</v>
      </c>
      <c r="K251" s="1" t="s">
        <v>280</v>
      </c>
      <c r="N251" s="1">
        <v>1.0</v>
      </c>
      <c r="O251" s="1">
        <v>1.0</v>
      </c>
      <c r="P251" s="1">
        <v>1.0</v>
      </c>
      <c r="Q251" s="1">
        <v>22.3</v>
      </c>
      <c r="R251" s="1">
        <v>0.0</v>
      </c>
    </row>
    <row r="252" ht="15.75" customHeight="1">
      <c r="A252" s="1" t="s">
        <v>25</v>
      </c>
      <c r="B252" s="1">
        <v>251.0</v>
      </c>
      <c r="C252" s="1" t="s">
        <v>124</v>
      </c>
      <c r="D252" s="1" t="s">
        <v>115</v>
      </c>
      <c r="G252" s="1" t="s">
        <v>125</v>
      </c>
      <c r="K252" s="1" t="s">
        <v>24</v>
      </c>
      <c r="N252" s="1">
        <v>1.0</v>
      </c>
      <c r="O252" s="1">
        <v>1.0</v>
      </c>
      <c r="P252" s="1">
        <v>1.0</v>
      </c>
      <c r="Q252" s="1">
        <v>17.93</v>
      </c>
      <c r="R252" s="1">
        <v>0.0</v>
      </c>
    </row>
    <row r="253" ht="15.75" customHeight="1">
      <c r="A253" s="1" t="s">
        <v>25</v>
      </c>
      <c r="B253" s="1">
        <v>252.0</v>
      </c>
      <c r="C253" s="1" t="s">
        <v>150</v>
      </c>
      <c r="D253" s="1" t="s">
        <v>151</v>
      </c>
      <c r="G253" s="1" t="s">
        <v>152</v>
      </c>
      <c r="K253" s="1" t="s">
        <v>24</v>
      </c>
      <c r="N253" s="1">
        <v>2.0</v>
      </c>
      <c r="O253" s="1">
        <v>3.0</v>
      </c>
      <c r="P253" s="1">
        <v>1.0</v>
      </c>
      <c r="Q253" s="1">
        <v>17.7</v>
      </c>
      <c r="R253" s="1">
        <v>0.0</v>
      </c>
    </row>
    <row r="254" ht="15.75" customHeight="1">
      <c r="A254" s="1" t="s">
        <v>25</v>
      </c>
      <c r="B254" s="1">
        <v>253.0</v>
      </c>
      <c r="C254" s="1" t="s">
        <v>150</v>
      </c>
      <c r="D254" s="1" t="s">
        <v>151</v>
      </c>
      <c r="G254" s="1" t="s">
        <v>153</v>
      </c>
      <c r="K254" s="1" t="s">
        <v>24</v>
      </c>
      <c r="N254" s="1">
        <v>2.0</v>
      </c>
      <c r="O254" s="1">
        <v>10.0</v>
      </c>
      <c r="P254" s="1">
        <v>2.0</v>
      </c>
      <c r="Q254" s="1">
        <v>16.92</v>
      </c>
      <c r="R254" s="1">
        <v>0.0</v>
      </c>
    </row>
    <row r="255" ht="15.75" customHeight="1">
      <c r="A255" s="1" t="s">
        <v>25</v>
      </c>
      <c r="B255" s="1">
        <v>254.0</v>
      </c>
      <c r="C255" s="1" t="s">
        <v>145</v>
      </c>
      <c r="D255" s="1" t="s">
        <v>146</v>
      </c>
      <c r="G255" s="1" t="s">
        <v>147</v>
      </c>
      <c r="K255" s="1" t="s">
        <v>24</v>
      </c>
      <c r="N255" s="1">
        <v>2.0</v>
      </c>
      <c r="O255" s="1">
        <v>3.0</v>
      </c>
      <c r="P255" s="1">
        <v>2.0</v>
      </c>
      <c r="Q255" s="1">
        <v>10.54</v>
      </c>
      <c r="R255" s="1">
        <v>0.0</v>
      </c>
    </row>
    <row r="256" ht="15.75" customHeight="1">
      <c r="A256" s="1" t="s">
        <v>25</v>
      </c>
      <c r="B256" s="1">
        <v>255.0</v>
      </c>
      <c r="C256" s="1" t="s">
        <v>189</v>
      </c>
      <c r="D256" s="1" t="s">
        <v>165</v>
      </c>
      <c r="G256" s="1" t="s">
        <v>193</v>
      </c>
      <c r="K256" s="1" t="s">
        <v>24</v>
      </c>
      <c r="N256" s="1">
        <v>1.0</v>
      </c>
      <c r="O256" s="1">
        <v>1.0</v>
      </c>
      <c r="P256" s="1">
        <v>1.0</v>
      </c>
      <c r="Q256" s="1">
        <v>2.98</v>
      </c>
      <c r="R256" s="1">
        <v>0.0</v>
      </c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2026-06-14T14:52:57Z</dcterms:created>
  <dc:creator>openpyxl</dc:creator>
</cp:coreProperties>
</file>